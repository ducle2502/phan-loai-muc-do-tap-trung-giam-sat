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vikkidigitalbank-my.sharepoint.com/personal/duclmh_vikkibank_vn/Documents/A Khoa/20260916 - Quản lý các chỉ đạo (thảo luận)/_docs/"/>
    </mc:Choice>
  </mc:AlternateContent>
  <xr:revisionPtr revIDLastSave="32" documentId="8_{CBC1083C-2603-4CCC-B9C4-EB10EAA1FD91}" xr6:coauthVersionLast="47" xr6:coauthVersionMax="47" xr10:uidLastSave="{5A054A76-998D-40F9-AEBE-D08D93C811E3}"/>
  <bookViews>
    <workbookView xWindow="-103" yWindow="-103" windowWidth="24892" windowHeight="14914" tabRatio="653" xr2:uid="{00000000-000D-0000-FFFF-FFFF00000000}"/>
  </bookViews>
  <sheets>
    <sheet name="MASTER_TRACKING" sheetId="1" r:id="rId1"/>
    <sheet name="Alert_levels" sheetId="12" r:id="rId2"/>
    <sheet name="Results" sheetId="8" r:id="rId3"/>
    <sheet name="Ly_do" sheetId="6" r:id="rId4"/>
    <sheet name="Topics" sheetId="5" r:id="rId5"/>
    <sheet name="Schema" sheetId="2" r:id="rId6"/>
    <sheet name="QC_Notes" sheetId="3" state="hidden" r:id="rId7"/>
  </sheets>
  <definedNames>
    <definedName name="_xlnm._FilterDatabase" localSheetId="0" hidden="1">MASTER_TRACKING!$A$3:$AF$448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1" l="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AF325" i="1"/>
  <c r="AF429" i="1"/>
  <c r="AF75" i="1"/>
  <c r="AF61" i="1"/>
  <c r="AF172" i="1"/>
  <c r="AF189" i="1"/>
  <c r="AF221" i="1"/>
  <c r="AF78" i="1"/>
  <c r="AF416" i="1"/>
  <c r="AF361" i="1"/>
  <c r="AF362" i="1"/>
  <c r="AF279" i="1"/>
  <c r="AF142" i="1"/>
  <c r="AF352" i="1"/>
  <c r="AF405" i="1"/>
  <c r="AF296" i="1"/>
  <c r="AF311" i="1"/>
  <c r="AF79" i="1"/>
  <c r="AF383" i="1"/>
  <c r="AF384" i="1"/>
  <c r="AF166" i="1"/>
  <c r="AF167" i="1"/>
  <c r="AF117" i="1"/>
  <c r="AF118" i="1"/>
  <c r="AF290" i="1"/>
  <c r="AF202" i="1"/>
  <c r="AF280" i="1"/>
  <c r="AF281" i="1"/>
  <c r="AF46" i="1"/>
  <c r="AF47" i="1"/>
  <c r="AF329" i="1"/>
  <c r="AF330" i="1"/>
  <c r="AF209" i="1"/>
  <c r="AF210" i="1"/>
  <c r="AF18" i="1"/>
  <c r="AF19" i="1"/>
  <c r="AF331" i="1"/>
  <c r="AF111" i="1"/>
  <c r="AF332" i="1"/>
  <c r="AF112" i="1"/>
  <c r="AF434" i="1"/>
  <c r="AF435" i="1"/>
  <c r="AF291" i="1"/>
  <c r="AF271" i="1"/>
  <c r="AF272" i="1"/>
  <c r="AF99" i="1"/>
  <c r="AF100" i="1"/>
  <c r="AF144" i="1"/>
  <c r="AF145" i="1"/>
  <c r="AF269" i="1"/>
  <c r="AF270" i="1"/>
  <c r="AF227" i="1"/>
  <c r="AF294" i="1"/>
  <c r="AF305" i="1"/>
  <c r="AF306" i="1"/>
  <c r="AF414" i="1"/>
  <c r="AF415" i="1"/>
  <c r="AF4" i="1"/>
  <c r="AF5" i="1"/>
  <c r="AF81" i="1"/>
  <c r="AF82" i="1"/>
  <c r="AF432" i="1"/>
  <c r="AF433" i="1"/>
  <c r="AF192" i="1"/>
  <c r="AF6" i="1"/>
  <c r="AF7" i="1"/>
  <c r="AF162" i="1"/>
  <c r="AF215" i="1"/>
  <c r="AF163" i="1"/>
  <c r="AF216" i="1"/>
  <c r="AF150" i="1"/>
  <c r="AF443" i="1"/>
  <c r="AF151" i="1"/>
  <c r="AF444" i="1"/>
  <c r="AF203" i="1"/>
  <c r="AF204" i="1"/>
  <c r="AF199" i="1"/>
  <c r="AF200" i="1"/>
  <c r="AF40" i="1"/>
  <c r="AF41" i="1"/>
  <c r="AF249" i="1"/>
  <c r="AF37" i="1"/>
  <c r="AF38" i="1"/>
  <c r="AF292" i="1"/>
  <c r="AF224" i="1"/>
  <c r="AF293" i="1"/>
  <c r="AF225" i="1"/>
  <c r="AF30" i="1"/>
  <c r="AF31" i="1"/>
  <c r="AF12" i="1"/>
  <c r="AF13" i="1"/>
  <c r="AF123" i="1"/>
  <c r="AF359" i="1"/>
  <c r="AF371" i="1"/>
  <c r="AF372" i="1"/>
  <c r="AF10" i="1"/>
  <c r="AF11" i="1"/>
  <c r="AF85" i="1"/>
  <c r="AF86" i="1"/>
  <c r="AF333" i="1"/>
  <c r="AF334" i="1"/>
  <c r="AF321" i="1"/>
  <c r="AF103" i="1"/>
  <c r="AF322" i="1"/>
  <c r="AF48" i="1"/>
  <c r="AF379" i="1"/>
  <c r="AF367" i="1"/>
  <c r="AF350" i="1"/>
  <c r="AF351" i="1"/>
  <c r="AF87" i="1"/>
  <c r="AF88" i="1"/>
  <c r="AF222" i="1"/>
  <c r="AF190" i="1"/>
  <c r="AF201" i="1"/>
  <c r="AF160" i="1"/>
  <c r="AF161" i="1"/>
  <c r="AF129" i="1"/>
  <c r="AF316" i="1"/>
  <c r="AF251" i="1"/>
  <c r="AF277" i="1"/>
  <c r="AF252" i="1"/>
  <c r="AF278" i="1"/>
  <c r="AF62" i="1"/>
  <c r="AF63" i="1"/>
  <c r="AF445" i="1"/>
  <c r="AF446" i="1"/>
  <c r="AF58" i="1"/>
  <c r="AF59" i="1"/>
  <c r="AF408" i="1"/>
  <c r="AF409" i="1"/>
  <c r="AF307" i="1"/>
  <c r="AF308" i="1"/>
  <c r="AF302" i="1"/>
  <c r="AF303" i="1"/>
  <c r="AF389" i="1"/>
  <c r="AF390" i="1"/>
  <c r="AF131" i="1"/>
  <c r="AF132" i="1"/>
  <c r="AF436" i="1"/>
  <c r="AF437" i="1"/>
  <c r="AF385" i="1"/>
  <c r="AF386" i="1"/>
  <c r="AF158" i="1"/>
  <c r="AF159" i="1"/>
  <c r="AF438" i="1"/>
  <c r="AF439" i="1"/>
  <c r="AF205" i="1"/>
  <c r="AF206" i="1"/>
  <c r="AF228" i="1"/>
  <c r="AF229" i="1"/>
  <c r="AF286" i="1"/>
  <c r="AF287" i="1"/>
  <c r="AF336" i="1"/>
  <c r="AF337" i="1"/>
  <c r="AF391" i="1"/>
  <c r="AF392" i="1"/>
  <c r="AF101" i="1"/>
  <c r="AF154" i="1"/>
  <c r="AF155" i="1"/>
  <c r="AF91" i="1"/>
  <c r="AF92" i="1"/>
  <c r="AF104" i="1"/>
  <c r="AF152" i="1"/>
  <c r="AF52" i="1"/>
  <c r="AF53" i="1"/>
  <c r="AF187" i="1"/>
  <c r="AF188" i="1"/>
  <c r="AF137" i="1"/>
  <c r="AF368" i="1"/>
  <c r="AF138" i="1"/>
  <c r="AF363" i="1"/>
  <c r="AF364" i="1"/>
  <c r="AF422" i="1"/>
  <c r="AF226" i="1"/>
  <c r="AF421" i="1"/>
  <c r="AF140" i="1"/>
  <c r="AF360" i="1"/>
  <c r="AF442" i="1"/>
  <c r="AF49" i="1"/>
  <c r="AF179" i="1"/>
  <c r="AF231" i="1"/>
  <c r="AF232" i="1"/>
  <c r="AF402" i="1"/>
  <c r="AF403" i="1"/>
  <c r="AF373" i="1"/>
  <c r="AF374" i="1"/>
  <c r="AF396" i="1"/>
  <c r="AF397" i="1"/>
  <c r="AF295" i="1"/>
  <c r="AF335" i="1"/>
  <c r="AF95" i="1"/>
  <c r="AF96" i="1"/>
  <c r="AF242" i="1"/>
  <c r="AF207" i="1"/>
  <c r="AF164" i="1"/>
  <c r="AF125" i="1"/>
  <c r="AF66" i="1"/>
  <c r="AF430" i="1"/>
  <c r="AF431" i="1"/>
  <c r="AF146" i="1"/>
  <c r="AF107" i="1"/>
  <c r="AF183" i="1"/>
  <c r="AF184" i="1"/>
  <c r="AF143" i="1"/>
  <c r="AF317" i="1"/>
  <c r="AF404" i="1"/>
  <c r="AF299" i="1"/>
  <c r="AF243" i="1"/>
  <c r="AF208" i="1"/>
  <c r="AF377" i="1"/>
  <c r="AF378" i="1"/>
  <c r="AF165" i="1"/>
  <c r="AF253" i="1"/>
  <c r="AF254" i="1"/>
  <c r="AF126" i="1"/>
  <c r="AF67" i="1"/>
  <c r="AF197" i="1"/>
  <c r="AF198" i="1"/>
  <c r="AF178" i="1"/>
  <c r="AF344" i="1"/>
  <c r="AF64" i="1"/>
  <c r="AF65" i="1"/>
  <c r="AF147" i="1"/>
  <c r="AF108" i="1"/>
  <c r="AF127" i="1"/>
  <c r="AF26" i="1"/>
  <c r="AF326" i="1"/>
  <c r="AF193" i="1"/>
  <c r="AF50" i="1"/>
  <c r="AF68" i="1"/>
  <c r="AF250" i="1"/>
  <c r="AF235" i="1"/>
  <c r="AF139" i="1"/>
  <c r="AF300" i="1"/>
  <c r="AF124" i="1"/>
  <c r="AF304" i="1"/>
  <c r="AF380" i="1"/>
  <c r="AF223" i="1"/>
  <c r="AF191" i="1"/>
  <c r="AF255" i="1"/>
  <c r="AF28" i="1"/>
  <c r="AF130" i="1"/>
  <c r="AF407" i="1"/>
  <c r="AF239" i="1"/>
  <c r="AF73" i="1"/>
  <c r="AF412" i="1"/>
  <c r="AF196" i="1"/>
  <c r="AF80" i="1"/>
  <c r="AF394" i="1"/>
  <c r="AF340" i="1"/>
  <c r="AF267" i="1"/>
  <c r="AF89" i="1"/>
  <c r="AF410" i="1"/>
  <c r="AF247" i="1"/>
  <c r="AF417" i="1"/>
  <c r="AF44" i="1"/>
  <c r="AF265" i="1"/>
  <c r="AF148" i="1"/>
  <c r="AF34" i="1"/>
  <c r="AF102" i="1"/>
  <c r="AF153" i="1"/>
  <c r="AF60" i="1"/>
  <c r="AF39" i="1"/>
  <c r="AF246" i="1"/>
  <c r="AF356" i="1"/>
  <c r="AF406" i="1"/>
  <c r="AF323" i="1"/>
  <c r="AF353" i="1"/>
  <c r="AF354" i="1"/>
  <c r="AF71" i="1"/>
  <c r="AF72" i="1"/>
  <c r="AF8" i="1"/>
  <c r="AF9" i="1"/>
  <c r="AF24" i="1"/>
  <c r="AF25" i="1"/>
  <c r="AF365" i="1"/>
  <c r="AF425" i="1"/>
  <c r="AF426" i="1"/>
  <c r="AF76" i="1"/>
  <c r="AF77" i="1"/>
  <c r="AF22" i="1"/>
  <c r="AF381" i="1"/>
  <c r="AF284" i="1"/>
  <c r="AF23" i="1"/>
  <c r="AF382" i="1"/>
  <c r="AF244" i="1"/>
  <c r="AF259" i="1"/>
  <c r="AF245" i="1"/>
  <c r="AF230" i="1"/>
  <c r="AF260" i="1"/>
  <c r="AF297" i="1"/>
  <c r="AF16" i="1"/>
  <c r="AF17" i="1"/>
  <c r="AF398" i="1"/>
  <c r="AF399" i="1"/>
  <c r="AF314" i="1"/>
  <c r="AF315" i="1"/>
  <c r="AF156" i="1"/>
  <c r="AF157" i="1"/>
  <c r="AF298" i="1"/>
  <c r="AF109" i="1"/>
  <c r="AF194" i="1"/>
  <c r="AF20" i="1"/>
  <c r="AF427" i="1"/>
  <c r="AF257" i="1"/>
  <c r="AF282" i="1"/>
  <c r="AF83" i="1"/>
  <c r="AF119" i="1"/>
  <c r="AF105" i="1"/>
  <c r="AF275" i="1"/>
  <c r="AF121" i="1"/>
  <c r="AF273" i="1"/>
  <c r="AF122" i="1"/>
  <c r="AF274" i="1"/>
  <c r="AF369" i="1"/>
  <c r="AF185" i="1"/>
  <c r="AF115" i="1"/>
  <c r="AF32" i="1"/>
  <c r="AF312" i="1"/>
  <c r="AF327" i="1"/>
  <c r="AF263" i="1"/>
  <c r="AF170" i="1"/>
  <c r="AF97" i="1"/>
  <c r="AF116" i="1"/>
  <c r="AF328" i="1"/>
  <c r="AF177" i="1"/>
  <c r="AF264" i="1"/>
  <c r="AF213" i="1"/>
  <c r="AF217" i="1"/>
  <c r="AF261" i="1"/>
  <c r="AF218" i="1"/>
  <c r="AF348" i="1"/>
  <c r="AF181" i="1"/>
  <c r="AF346" i="1"/>
  <c r="AF338" i="1"/>
  <c r="AF447" i="1"/>
  <c r="AF175" i="1"/>
  <c r="AF423" i="1"/>
  <c r="AF375" i="1"/>
  <c r="AF424" i="1"/>
  <c r="AF419" i="1"/>
  <c r="AF168" i="1"/>
  <c r="AF318" i="1"/>
  <c r="AF400" i="1"/>
  <c r="AF319" i="1"/>
  <c r="AF35" i="1"/>
  <c r="AF42" i="1"/>
  <c r="AF69" i="1"/>
  <c r="AF56" i="1"/>
  <c r="AF57" i="1"/>
  <c r="AF342" i="1"/>
  <c r="AF343" i="1"/>
  <c r="AF357" i="1"/>
  <c r="AF113" i="1"/>
  <c r="AF133" i="1"/>
  <c r="AF358" i="1"/>
  <c r="AF366" i="1"/>
  <c r="AF114" i="1"/>
  <c r="AF134" i="1"/>
  <c r="AF285" i="1"/>
  <c r="AF14" i="1"/>
  <c r="AF15" i="1"/>
  <c r="AF54" i="1"/>
  <c r="AF55" i="1"/>
  <c r="AF324" i="1"/>
  <c r="AF393" i="1"/>
  <c r="AF21" i="1"/>
  <c r="AF258" i="1"/>
  <c r="AF110" i="1"/>
  <c r="AF84" i="1"/>
  <c r="AF195" i="1"/>
  <c r="AF428" i="1"/>
  <c r="AF283" i="1"/>
  <c r="AF120" i="1"/>
  <c r="AF106" i="1"/>
  <c r="AF276" i="1"/>
  <c r="AF387" i="1"/>
  <c r="AF388" i="1"/>
  <c r="AF237" i="1"/>
  <c r="AF238" i="1"/>
  <c r="AF186" i="1"/>
  <c r="AF370" i="1"/>
  <c r="AF313" i="1"/>
  <c r="AF309" i="1"/>
  <c r="AF33" i="1"/>
  <c r="AF98" i="1"/>
  <c r="AF310" i="1"/>
  <c r="AF171" i="1"/>
  <c r="AF440" i="1"/>
  <c r="AF441" i="1"/>
  <c r="AF214" i="1"/>
  <c r="AF345" i="1"/>
  <c r="AF262" i="1"/>
  <c r="AF349" i="1"/>
  <c r="AF182" i="1"/>
  <c r="AF347" i="1"/>
  <c r="AF339" i="1"/>
  <c r="AF448" i="1"/>
  <c r="AF176" i="1"/>
  <c r="AF376" i="1"/>
  <c r="AF420" i="1"/>
  <c r="AF169" i="1"/>
  <c r="AF401" i="1"/>
  <c r="AF36" i="1"/>
  <c r="AF43" i="1"/>
  <c r="AF173" i="1"/>
  <c r="AF174" i="1"/>
  <c r="AF70" i="1"/>
  <c r="AF320" i="1"/>
  <c r="AF128" i="1"/>
  <c r="AF27" i="1"/>
  <c r="AF51" i="1"/>
  <c r="AF233" i="1"/>
  <c r="AF234" i="1"/>
  <c r="AF93" i="1"/>
  <c r="AF211" i="1"/>
  <c r="AF94" i="1"/>
  <c r="AF212" i="1"/>
  <c r="AF240" i="1"/>
  <c r="AF241" i="1"/>
  <c r="AF355" i="1"/>
  <c r="AF236" i="1"/>
  <c r="AF301" i="1"/>
  <c r="AF135" i="1"/>
  <c r="AF136" i="1"/>
  <c r="AF288" i="1"/>
  <c r="AF289" i="1"/>
  <c r="AF256" i="1"/>
  <c r="AF29" i="1"/>
  <c r="AF74" i="1"/>
  <c r="AF413" i="1"/>
  <c r="AF395" i="1"/>
  <c r="AF341" i="1"/>
  <c r="AF219" i="1"/>
  <c r="AF220" i="1"/>
  <c r="AF268" i="1"/>
  <c r="AF90" i="1"/>
  <c r="AF411" i="1"/>
  <c r="AF248" i="1"/>
  <c r="AF418" i="1"/>
  <c r="AF180" i="1"/>
  <c r="AF45" i="1"/>
  <c r="AF266" i="1"/>
  <c r="AF149" i="1"/>
  <c r="AF141" i="1"/>
  <c r="W325" i="1"/>
  <c r="W429" i="1"/>
  <c r="W75" i="1"/>
  <c r="W61" i="1"/>
  <c r="W172" i="1"/>
  <c r="W189" i="1"/>
  <c r="W221" i="1"/>
  <c r="W78" i="1"/>
  <c r="W416" i="1"/>
  <c r="W361" i="1"/>
  <c r="W362" i="1"/>
  <c r="W279" i="1"/>
  <c r="W142" i="1"/>
  <c r="W352" i="1"/>
  <c r="W405" i="1"/>
  <c r="W296" i="1"/>
  <c r="W311" i="1"/>
  <c r="W79" i="1"/>
  <c r="W383" i="1"/>
  <c r="W384" i="1"/>
  <c r="W166" i="1"/>
  <c r="W167" i="1"/>
  <c r="W117" i="1"/>
  <c r="W118" i="1"/>
  <c r="W290" i="1"/>
  <c r="W202" i="1"/>
  <c r="W280" i="1"/>
  <c r="W281" i="1"/>
  <c r="W46" i="1"/>
  <c r="W47" i="1"/>
  <c r="W329" i="1"/>
  <c r="W330" i="1"/>
  <c r="W209" i="1"/>
  <c r="W210" i="1"/>
  <c r="W18" i="1"/>
  <c r="W19" i="1"/>
  <c r="W331" i="1"/>
  <c r="W111" i="1"/>
  <c r="W332" i="1"/>
  <c r="W112" i="1"/>
  <c r="W434" i="1"/>
  <c r="W435" i="1"/>
  <c r="W291" i="1"/>
  <c r="W271" i="1"/>
  <c r="W272" i="1"/>
  <c r="W99" i="1"/>
  <c r="W100" i="1"/>
  <c r="W144" i="1"/>
  <c r="W145" i="1"/>
  <c r="W269" i="1"/>
  <c r="W270" i="1"/>
  <c r="W227" i="1"/>
  <c r="W294" i="1"/>
  <c r="W305" i="1"/>
  <c r="W306" i="1"/>
  <c r="W414" i="1"/>
  <c r="W415" i="1"/>
  <c r="W4" i="1"/>
  <c r="W5" i="1"/>
  <c r="W81" i="1"/>
  <c r="W82" i="1"/>
  <c r="W432" i="1"/>
  <c r="W433" i="1"/>
  <c r="W192" i="1"/>
  <c r="W6" i="1"/>
  <c r="W7" i="1"/>
  <c r="W162" i="1"/>
  <c r="W215" i="1"/>
  <c r="W163" i="1"/>
  <c r="W216" i="1"/>
  <c r="W150" i="1"/>
  <c r="W443" i="1"/>
  <c r="W151" i="1"/>
  <c r="W444" i="1"/>
  <c r="W203" i="1"/>
  <c r="W204" i="1"/>
  <c r="W199" i="1"/>
  <c r="W200" i="1"/>
  <c r="W40" i="1"/>
  <c r="W41" i="1"/>
  <c r="W249" i="1"/>
  <c r="W37" i="1"/>
  <c r="W38" i="1"/>
  <c r="W292" i="1"/>
  <c r="W224" i="1"/>
  <c r="W293" i="1"/>
  <c r="W225" i="1"/>
  <c r="W30" i="1"/>
  <c r="W31" i="1"/>
  <c r="W12" i="1"/>
  <c r="W13" i="1"/>
  <c r="W123" i="1"/>
  <c r="W359" i="1"/>
  <c r="W371" i="1"/>
  <c r="W372" i="1"/>
  <c r="W10" i="1"/>
  <c r="W11" i="1"/>
  <c r="W85" i="1"/>
  <c r="W86" i="1"/>
  <c r="W333" i="1"/>
  <c r="W334" i="1"/>
  <c r="W321" i="1"/>
  <c r="W103" i="1"/>
  <c r="W322" i="1"/>
  <c r="W48" i="1"/>
  <c r="W379" i="1"/>
  <c r="W367" i="1"/>
  <c r="W350" i="1"/>
  <c r="W351" i="1"/>
  <c r="W87" i="1"/>
  <c r="W88" i="1"/>
  <c r="W222" i="1"/>
  <c r="W190" i="1"/>
  <c r="W201" i="1"/>
  <c r="W160" i="1"/>
  <c r="W161" i="1"/>
  <c r="W129" i="1"/>
  <c r="W316" i="1"/>
  <c r="W251" i="1"/>
  <c r="W277" i="1"/>
  <c r="W252" i="1"/>
  <c r="W278" i="1"/>
  <c r="W62" i="1"/>
  <c r="W63" i="1"/>
  <c r="W445" i="1"/>
  <c r="W446" i="1"/>
  <c r="W58" i="1"/>
  <c r="W59" i="1"/>
  <c r="W408" i="1"/>
  <c r="W409" i="1"/>
  <c r="W307" i="1"/>
  <c r="W308" i="1"/>
  <c r="W302" i="1"/>
  <c r="W303" i="1"/>
  <c r="W389" i="1"/>
  <c r="W390" i="1"/>
  <c r="W131" i="1"/>
  <c r="W132" i="1"/>
  <c r="W436" i="1"/>
  <c r="W437" i="1"/>
  <c r="W385" i="1"/>
  <c r="W386" i="1"/>
  <c r="W158" i="1"/>
  <c r="W159" i="1"/>
  <c r="W438" i="1"/>
  <c r="W439" i="1"/>
  <c r="W205" i="1"/>
  <c r="W206" i="1"/>
  <c r="W228" i="1"/>
  <c r="W229" i="1"/>
  <c r="W286" i="1"/>
  <c r="W287" i="1"/>
  <c r="W336" i="1"/>
  <c r="W337" i="1"/>
  <c r="W391" i="1"/>
  <c r="W392" i="1"/>
  <c r="W101" i="1"/>
  <c r="W154" i="1"/>
  <c r="W155" i="1"/>
  <c r="W91" i="1"/>
  <c r="W92" i="1"/>
  <c r="W104" i="1"/>
  <c r="W152" i="1"/>
  <c r="W52" i="1"/>
  <c r="W53" i="1"/>
  <c r="W187" i="1"/>
  <c r="W188" i="1"/>
  <c r="W137" i="1"/>
  <c r="W368" i="1"/>
  <c r="W138" i="1"/>
  <c r="W363" i="1"/>
  <c r="W364" i="1"/>
  <c r="W422" i="1"/>
  <c r="W226" i="1"/>
  <c r="W421" i="1"/>
  <c r="W140" i="1"/>
  <c r="W360" i="1"/>
  <c r="W442" i="1"/>
  <c r="W49" i="1"/>
  <c r="W179" i="1"/>
  <c r="W231" i="1"/>
  <c r="W232" i="1"/>
  <c r="W402" i="1"/>
  <c r="W403" i="1"/>
  <c r="W373" i="1"/>
  <c r="W374" i="1"/>
  <c r="W396" i="1"/>
  <c r="W397" i="1"/>
  <c r="W295" i="1"/>
  <c r="W335" i="1"/>
  <c r="W95" i="1"/>
  <c r="W96" i="1"/>
  <c r="W242" i="1"/>
  <c r="W207" i="1"/>
  <c r="W164" i="1"/>
  <c r="W125" i="1"/>
  <c r="W66" i="1"/>
  <c r="W430" i="1"/>
  <c r="W431" i="1"/>
  <c r="W146" i="1"/>
  <c r="W107" i="1"/>
  <c r="W183" i="1"/>
  <c r="W184" i="1"/>
  <c r="W143" i="1"/>
  <c r="W317" i="1"/>
  <c r="W404" i="1"/>
  <c r="W299" i="1"/>
  <c r="W243" i="1"/>
  <c r="W208" i="1"/>
  <c r="W377" i="1"/>
  <c r="W378" i="1"/>
  <c r="W165" i="1"/>
  <c r="W253" i="1"/>
  <c r="W254" i="1"/>
  <c r="W126" i="1"/>
  <c r="W67" i="1"/>
  <c r="W197" i="1"/>
  <c r="W198" i="1"/>
  <c r="W178" i="1"/>
  <c r="W344" i="1"/>
  <c r="W64" i="1"/>
  <c r="W65" i="1"/>
  <c r="W147" i="1"/>
  <c r="W108" i="1"/>
  <c r="W127" i="1"/>
  <c r="W26" i="1"/>
  <c r="W326" i="1"/>
  <c r="W193" i="1"/>
  <c r="W50" i="1"/>
  <c r="W68" i="1"/>
  <c r="W250" i="1"/>
  <c r="W235" i="1"/>
  <c r="W139" i="1"/>
  <c r="W300" i="1"/>
  <c r="W124" i="1"/>
  <c r="W304" i="1"/>
  <c r="W380" i="1"/>
  <c r="W223" i="1"/>
  <c r="W191" i="1"/>
  <c r="W255" i="1"/>
  <c r="W28" i="1"/>
  <c r="W130" i="1"/>
  <c r="W407" i="1"/>
  <c r="W239" i="1"/>
  <c r="W73" i="1"/>
  <c r="W412" i="1"/>
  <c r="W196" i="1"/>
  <c r="W80" i="1"/>
  <c r="W394" i="1"/>
  <c r="W340" i="1"/>
  <c r="W267" i="1"/>
  <c r="W89" i="1"/>
  <c r="W410" i="1"/>
  <c r="W247" i="1"/>
  <c r="W417" i="1"/>
  <c r="W44" i="1"/>
  <c r="W265" i="1"/>
  <c r="W148" i="1"/>
  <c r="W34" i="1"/>
  <c r="W102" i="1"/>
  <c r="W153" i="1"/>
  <c r="W60" i="1"/>
  <c r="W39" i="1"/>
  <c r="W246" i="1"/>
  <c r="W356" i="1"/>
  <c r="W406" i="1"/>
  <c r="W323" i="1"/>
  <c r="W353" i="1"/>
  <c r="W354" i="1"/>
  <c r="W71" i="1"/>
  <c r="W72" i="1"/>
  <c r="W8" i="1"/>
  <c r="W9" i="1"/>
  <c r="W24" i="1"/>
  <c r="W25" i="1"/>
  <c r="W365" i="1"/>
  <c r="W425" i="1"/>
  <c r="W426" i="1"/>
  <c r="W76" i="1"/>
  <c r="W77" i="1"/>
  <c r="W22" i="1"/>
  <c r="W381" i="1"/>
  <c r="W284" i="1"/>
  <c r="W23" i="1"/>
  <c r="W382" i="1"/>
  <c r="W244" i="1"/>
  <c r="W259" i="1"/>
  <c r="W245" i="1"/>
  <c r="W230" i="1"/>
  <c r="W260" i="1"/>
  <c r="W297" i="1"/>
  <c r="W16" i="1"/>
  <c r="W17" i="1"/>
  <c r="W398" i="1"/>
  <c r="W399" i="1"/>
  <c r="W314" i="1"/>
  <c r="W315" i="1"/>
  <c r="W156" i="1"/>
  <c r="W157" i="1"/>
  <c r="W298" i="1"/>
  <c r="W109" i="1"/>
  <c r="W194" i="1"/>
  <c r="W20" i="1"/>
  <c r="W427" i="1"/>
  <c r="W257" i="1"/>
  <c r="W282" i="1"/>
  <c r="W83" i="1"/>
  <c r="W119" i="1"/>
  <c r="W105" i="1"/>
  <c r="W275" i="1"/>
  <c r="W121" i="1"/>
  <c r="W273" i="1"/>
  <c r="W122" i="1"/>
  <c r="W274" i="1"/>
  <c r="W369" i="1"/>
  <c r="W185" i="1"/>
  <c r="W115" i="1"/>
  <c r="W32" i="1"/>
  <c r="W312" i="1"/>
  <c r="W327" i="1"/>
  <c r="W263" i="1"/>
  <c r="W170" i="1"/>
  <c r="W97" i="1"/>
  <c r="W116" i="1"/>
  <c r="W328" i="1"/>
  <c r="W177" i="1"/>
  <c r="W264" i="1"/>
  <c r="W213" i="1"/>
  <c r="W217" i="1"/>
  <c r="W261" i="1"/>
  <c r="W218" i="1"/>
  <c r="W348" i="1"/>
  <c r="W181" i="1"/>
  <c r="W346" i="1"/>
  <c r="W338" i="1"/>
  <c r="W447" i="1"/>
  <c r="W175" i="1"/>
  <c r="W423" i="1"/>
  <c r="W375" i="1"/>
  <c r="W424" i="1"/>
  <c r="W419" i="1"/>
  <c r="W168" i="1"/>
  <c r="W318" i="1"/>
  <c r="W400" i="1"/>
  <c r="W319" i="1"/>
  <c r="W35" i="1"/>
  <c r="W42" i="1"/>
  <c r="W69" i="1"/>
  <c r="W56" i="1"/>
  <c r="W57" i="1"/>
  <c r="W342" i="1"/>
  <c r="W343" i="1"/>
  <c r="W357" i="1"/>
  <c r="W113" i="1"/>
  <c r="W133" i="1"/>
  <c r="W358" i="1"/>
  <c r="W366" i="1"/>
  <c r="W114" i="1"/>
  <c r="W134" i="1"/>
  <c r="W285" i="1"/>
  <c r="W14" i="1"/>
  <c r="W15" i="1"/>
  <c r="W54" i="1"/>
  <c r="W55" i="1"/>
  <c r="W324" i="1"/>
  <c r="W393" i="1"/>
  <c r="W21" i="1"/>
  <c r="W258" i="1"/>
  <c r="W110" i="1"/>
  <c r="W84" i="1"/>
  <c r="W195" i="1"/>
  <c r="W428" i="1"/>
  <c r="W283" i="1"/>
  <c r="W120" i="1"/>
  <c r="W106" i="1"/>
  <c r="W276" i="1"/>
  <c r="W387" i="1"/>
  <c r="W388" i="1"/>
  <c r="W237" i="1"/>
  <c r="W238" i="1"/>
  <c r="W186" i="1"/>
  <c r="W370" i="1"/>
  <c r="W313" i="1"/>
  <c r="W309" i="1"/>
  <c r="W33" i="1"/>
  <c r="W98" i="1"/>
  <c r="W310" i="1"/>
  <c r="W171" i="1"/>
  <c r="W440" i="1"/>
  <c r="W441" i="1"/>
  <c r="W214" i="1"/>
  <c r="W345" i="1"/>
  <c r="W262" i="1"/>
  <c r="W349" i="1"/>
  <c r="W182" i="1"/>
  <c r="W347" i="1"/>
  <c r="W339" i="1"/>
  <c r="W448" i="1"/>
  <c r="W176" i="1"/>
  <c r="W376" i="1"/>
  <c r="W420" i="1"/>
  <c r="W169" i="1"/>
  <c r="W401" i="1"/>
  <c r="W36" i="1"/>
  <c r="W43" i="1"/>
  <c r="W173" i="1"/>
  <c r="W174" i="1"/>
  <c r="W70" i="1"/>
  <c r="W320" i="1"/>
  <c r="W128" i="1"/>
  <c r="W27" i="1"/>
  <c r="W51" i="1"/>
  <c r="W233" i="1"/>
  <c r="W234" i="1"/>
  <c r="W93" i="1"/>
  <c r="W211" i="1"/>
  <c r="W94" i="1"/>
  <c r="W212" i="1"/>
  <c r="W240" i="1"/>
  <c r="W241" i="1"/>
  <c r="W355" i="1"/>
  <c r="W236" i="1"/>
  <c r="W301" i="1"/>
  <c r="W135" i="1"/>
  <c r="W136" i="1"/>
  <c r="W288" i="1"/>
  <c r="W289" i="1"/>
  <c r="W256" i="1"/>
  <c r="W29" i="1"/>
  <c r="W74" i="1"/>
  <c r="W413" i="1"/>
  <c r="W395" i="1"/>
  <c r="W341" i="1"/>
  <c r="W219" i="1"/>
  <c r="W220" i="1"/>
  <c r="W268" i="1"/>
  <c r="W90" i="1"/>
  <c r="W411" i="1"/>
  <c r="W248" i="1"/>
  <c r="W418" i="1"/>
  <c r="W180" i="1"/>
  <c r="W45" i="1"/>
  <c r="W266" i="1"/>
  <c r="W149" i="1"/>
  <c r="W141" i="1"/>
  <c r="K60" i="1" a="1"/>
  <c r="K60" i="1" s="1"/>
  <c r="K353" i="1" a="1"/>
  <c r="K353" i="1" s="1"/>
  <c r="K354" i="1" a="1"/>
  <c r="K354" i="1" s="1"/>
  <c r="K271" i="1" a="1"/>
  <c r="K271" i="1" s="1"/>
  <c r="K272" i="1" a="1"/>
  <c r="K272" i="1" s="1"/>
  <c r="K99" i="1" a="1"/>
  <c r="K99" i="1" s="1"/>
  <c r="K100" i="1" a="1"/>
  <c r="K100" i="1" s="1"/>
  <c r="K71" i="1" a="1"/>
  <c r="K71" i="1" s="1"/>
  <c r="K72" i="1" a="1"/>
  <c r="K72" i="1" s="1"/>
  <c r="K231" i="1" a="1"/>
  <c r="K231" i="1" s="1"/>
  <c r="K232" i="1" a="1"/>
  <c r="K232" i="1" s="1"/>
  <c r="K144" i="1" a="1"/>
  <c r="K144" i="1" s="1"/>
  <c r="K145" i="1" a="1"/>
  <c r="K145" i="1" s="1"/>
  <c r="K383" i="1" a="1"/>
  <c r="K383" i="1" s="1"/>
  <c r="K384" i="1" a="1"/>
  <c r="K384" i="1" s="1"/>
  <c r="K166" i="1" a="1"/>
  <c r="K166" i="1" s="1"/>
  <c r="K167" i="1" a="1"/>
  <c r="K167" i="1" s="1"/>
  <c r="K402" i="1" a="1"/>
  <c r="K402" i="1" s="1"/>
  <c r="K403" i="1" a="1"/>
  <c r="K403" i="1" s="1"/>
  <c r="K8" i="1" a="1"/>
  <c r="K8" i="1" s="1"/>
  <c r="K9" i="1" a="1"/>
  <c r="K9" i="1" s="1"/>
  <c r="K373" i="1" a="1"/>
  <c r="K373" i="1" s="1"/>
  <c r="K374" i="1" a="1"/>
  <c r="K374" i="1" s="1"/>
  <c r="K127" i="1" a="1"/>
  <c r="K127" i="1" s="1"/>
  <c r="K26" i="1" a="1"/>
  <c r="K26" i="1" s="1"/>
  <c r="K396" i="1" a="1"/>
  <c r="K396" i="1" s="1"/>
  <c r="K128" i="1" a="1"/>
  <c r="K128" i="1" s="1"/>
  <c r="K27" i="1" a="1"/>
  <c r="K27" i="1" s="1"/>
  <c r="K397" i="1" a="1"/>
  <c r="K397" i="1" s="1"/>
  <c r="K269" i="1" a="1"/>
  <c r="K269" i="1" s="1"/>
  <c r="K270" i="1" a="1"/>
  <c r="K270" i="1" s="1"/>
  <c r="K227" i="1" a="1"/>
  <c r="K227" i="1" s="1"/>
  <c r="K325" i="1" a="1"/>
  <c r="K325" i="1" s="1"/>
  <c r="K294" i="1" a="1"/>
  <c r="K294" i="1" s="1"/>
  <c r="K326" i="1" a="1"/>
  <c r="K326" i="1" s="1"/>
  <c r="K295" i="1" a="1"/>
  <c r="K295" i="1" s="1"/>
  <c r="K24" i="1" a="1"/>
  <c r="K24" i="1" s="1"/>
  <c r="K25" i="1" a="1"/>
  <c r="K25" i="1" s="1"/>
  <c r="K305" i="1" a="1"/>
  <c r="K305" i="1" s="1"/>
  <c r="K306" i="1" a="1"/>
  <c r="K306" i="1" s="1"/>
  <c r="K365" i="1" a="1"/>
  <c r="K365" i="1" s="1"/>
  <c r="K425" i="1" a="1"/>
  <c r="K425" i="1" s="1"/>
  <c r="K426" i="1" a="1"/>
  <c r="K426" i="1" s="1"/>
  <c r="K429" i="1" a="1"/>
  <c r="K429" i="1" s="1"/>
  <c r="K76" i="1" a="1"/>
  <c r="K76" i="1" s="1"/>
  <c r="K77" i="1" a="1"/>
  <c r="K77" i="1" s="1"/>
  <c r="K414" i="1" a="1"/>
  <c r="K414" i="1" s="1"/>
  <c r="K415" i="1" a="1"/>
  <c r="K415" i="1" s="1"/>
  <c r="K22" i="1" a="1"/>
  <c r="K22" i="1" s="1"/>
  <c r="K381" i="1" a="1"/>
  <c r="K381" i="1" s="1"/>
  <c r="K284" i="1" a="1"/>
  <c r="K284" i="1" s="1"/>
  <c r="K23" i="1" a="1"/>
  <c r="K23" i="1" s="1"/>
  <c r="K382" i="1" a="1"/>
  <c r="K382" i="1" s="1"/>
  <c r="K4" i="1" a="1"/>
  <c r="K4" i="1" s="1"/>
  <c r="K5" i="1" a="1"/>
  <c r="K5" i="1" s="1"/>
  <c r="K244" i="1" a="1"/>
  <c r="K244" i="1" s="1"/>
  <c r="K259" i="1" a="1"/>
  <c r="K259" i="1" s="1"/>
  <c r="K245" i="1" a="1"/>
  <c r="K245" i="1" s="1"/>
  <c r="K230" i="1" a="1"/>
  <c r="K230" i="1" s="1"/>
  <c r="K260" i="1" a="1"/>
  <c r="K260" i="1" s="1"/>
  <c r="K297" i="1" a="1"/>
  <c r="K297" i="1" s="1"/>
  <c r="K81" i="1" a="1"/>
  <c r="K81" i="1" s="1"/>
  <c r="K82" i="1" a="1"/>
  <c r="K82" i="1" s="1"/>
  <c r="K432" i="1" a="1"/>
  <c r="K432" i="1" s="1"/>
  <c r="K433" i="1" a="1"/>
  <c r="K433" i="1" s="1"/>
  <c r="K192" i="1" a="1"/>
  <c r="K192" i="1" s="1"/>
  <c r="K193" i="1" a="1"/>
  <c r="K193" i="1" s="1"/>
  <c r="K422" i="1" a="1"/>
  <c r="K422" i="1" s="1"/>
  <c r="K6" i="1" a="1"/>
  <c r="K6" i="1" s="1"/>
  <c r="K7" i="1" a="1"/>
  <c r="K7" i="1" s="1"/>
  <c r="K39" i="1" a="1"/>
  <c r="K39" i="1" s="1"/>
  <c r="K335" i="1" a="1"/>
  <c r="K335" i="1" s="1"/>
  <c r="K16" i="1" a="1"/>
  <c r="K16" i="1" s="1"/>
  <c r="K17" i="1" a="1"/>
  <c r="K17" i="1" s="1"/>
  <c r="K95" i="1" a="1"/>
  <c r="K95" i="1" s="1"/>
  <c r="K96" i="1" a="1"/>
  <c r="K96" i="1" s="1"/>
  <c r="K162" i="1" a="1"/>
  <c r="K162" i="1" s="1"/>
  <c r="K215" i="1" a="1"/>
  <c r="K215" i="1" s="1"/>
  <c r="K163" i="1" a="1"/>
  <c r="K163" i="1" s="1"/>
  <c r="K216" i="1" a="1"/>
  <c r="K216" i="1" s="1"/>
  <c r="K50" i="1" a="1"/>
  <c r="K50" i="1" s="1"/>
  <c r="K51" i="1" a="1"/>
  <c r="K51" i="1" s="1"/>
  <c r="K233" i="1" a="1"/>
  <c r="K233" i="1" s="1"/>
  <c r="K234" i="1" a="1"/>
  <c r="K234" i="1" s="1"/>
  <c r="K75" i="1" a="1"/>
  <c r="K75" i="1" s="1"/>
  <c r="K93" i="1" a="1"/>
  <c r="K93" i="1" s="1"/>
  <c r="K211" i="1" a="1"/>
  <c r="K211" i="1" s="1"/>
  <c r="K94" i="1" a="1"/>
  <c r="K94" i="1" s="1"/>
  <c r="K212" i="1" a="1"/>
  <c r="K212" i="1" s="1"/>
  <c r="K150" i="1" a="1"/>
  <c r="K150" i="1" s="1"/>
  <c r="K443" i="1" a="1"/>
  <c r="K443" i="1" s="1"/>
  <c r="K151" i="1" a="1"/>
  <c r="K151" i="1" s="1"/>
  <c r="K444" i="1" a="1"/>
  <c r="K444" i="1" s="1"/>
  <c r="K203" i="1" a="1"/>
  <c r="K203" i="1" s="1"/>
  <c r="K204" i="1" a="1"/>
  <c r="K204" i="1" s="1"/>
  <c r="K398" i="1" a="1"/>
  <c r="K398" i="1" s="1"/>
  <c r="K399" i="1" a="1"/>
  <c r="K399" i="1" s="1"/>
  <c r="K240" i="1" a="1"/>
  <c r="K240" i="1" s="1"/>
  <c r="K241" i="1" a="1"/>
  <c r="K241" i="1" s="1"/>
  <c r="K68" i="1" a="1"/>
  <c r="K68" i="1" s="1"/>
  <c r="K199" i="1" a="1"/>
  <c r="K199" i="1" s="1"/>
  <c r="K200" i="1" a="1"/>
  <c r="K200" i="1" s="1"/>
  <c r="K355" i="1" a="1"/>
  <c r="K355" i="1" s="1"/>
  <c r="K117" i="1" a="1"/>
  <c r="K117" i="1" s="1"/>
  <c r="K118" i="1" a="1"/>
  <c r="K118" i="1" s="1"/>
  <c r="K314" i="1" a="1"/>
  <c r="K314" i="1" s="1"/>
  <c r="K315" i="1" a="1"/>
  <c r="K315" i="1" s="1"/>
  <c r="K156" i="1" a="1"/>
  <c r="K156" i="1" s="1"/>
  <c r="K157" i="1" a="1"/>
  <c r="K157" i="1" s="1"/>
  <c r="K298" i="1" a="1"/>
  <c r="K298" i="1" s="1"/>
  <c r="K40" i="1" a="1"/>
  <c r="K40" i="1" s="1"/>
  <c r="K41" i="1" a="1"/>
  <c r="K41" i="1" s="1"/>
  <c r="K249" i="1" a="1"/>
  <c r="K249" i="1" s="1"/>
  <c r="K250" i="1" a="1"/>
  <c r="K250" i="1" s="1"/>
  <c r="K37" i="1" a="1"/>
  <c r="K37" i="1" s="1"/>
  <c r="K109" i="1" a="1"/>
  <c r="K109" i="1" s="1"/>
  <c r="K242" i="1" a="1"/>
  <c r="K242" i="1" s="1"/>
  <c r="K38" i="1" a="1"/>
  <c r="K38" i="1" s="1"/>
  <c r="K61" i="1" a="1"/>
  <c r="K61" i="1" s="1"/>
  <c r="K235" i="1" a="1"/>
  <c r="K235" i="1" s="1"/>
  <c r="K139" i="1" a="1"/>
  <c r="K139" i="1" s="1"/>
  <c r="K194" i="1" a="1"/>
  <c r="K194" i="1" s="1"/>
  <c r="K236" i="1" a="1"/>
  <c r="K236" i="1" s="1"/>
  <c r="K172" i="1" a="1"/>
  <c r="K172" i="1" s="1"/>
  <c r="K20" i="1" a="1"/>
  <c r="K20" i="1" s="1"/>
  <c r="K140" i="1" a="1"/>
  <c r="K140" i="1" s="1"/>
  <c r="K427" i="1" a="1"/>
  <c r="K427" i="1" s="1"/>
  <c r="K207" i="1" a="1"/>
  <c r="K207" i="1" s="1"/>
  <c r="K189" i="1" a="1"/>
  <c r="K189" i="1" s="1"/>
  <c r="K292" i="1" a="1"/>
  <c r="K292" i="1" s="1"/>
  <c r="K257" i="1" a="1"/>
  <c r="K257" i="1" s="1"/>
  <c r="K224" i="1" a="1"/>
  <c r="K224" i="1" s="1"/>
  <c r="K282" i="1" a="1"/>
  <c r="K282" i="1" s="1"/>
  <c r="K293" i="1" a="1"/>
  <c r="K293" i="1" s="1"/>
  <c r="K225" i="1" a="1"/>
  <c r="K225" i="1" s="1"/>
  <c r="K83" i="1" a="1"/>
  <c r="K83" i="1" s="1"/>
  <c r="K300" i="1" a="1"/>
  <c r="K300" i="1" s="1"/>
  <c r="K119" i="1" a="1"/>
  <c r="K119" i="1" s="1"/>
  <c r="K301" i="1" a="1"/>
  <c r="K301" i="1" s="1"/>
  <c r="K30" i="1" a="1"/>
  <c r="K30" i="1" s="1"/>
  <c r="K31" i="1" a="1"/>
  <c r="K31" i="1" s="1"/>
  <c r="K105" i="1" a="1"/>
  <c r="K105" i="1" s="1"/>
  <c r="K246" i="1" a="1"/>
  <c r="K246" i="1" s="1"/>
  <c r="K135" i="1" a="1"/>
  <c r="K135" i="1" s="1"/>
  <c r="K136" i="1" a="1"/>
  <c r="K136" i="1" s="1"/>
  <c r="K275" i="1" a="1"/>
  <c r="K275" i="1" s="1"/>
  <c r="K121" i="1" a="1"/>
  <c r="K121" i="1" s="1"/>
  <c r="K273" i="1" a="1"/>
  <c r="K273" i="1" s="1"/>
  <c r="K122" i="1" a="1"/>
  <c r="K122" i="1" s="1"/>
  <c r="K164" i="1" a="1"/>
  <c r="K164" i="1" s="1"/>
  <c r="K274" i="1" a="1"/>
  <c r="K274" i="1" s="1"/>
  <c r="K12" i="1" a="1"/>
  <c r="K12" i="1" s="1"/>
  <c r="K13" i="1" a="1"/>
  <c r="K13" i="1" s="1"/>
  <c r="K125" i="1" a="1"/>
  <c r="K125" i="1" s="1"/>
  <c r="K221" i="1" a="1"/>
  <c r="K221" i="1" s="1"/>
  <c r="K123" i="1" a="1"/>
  <c r="K123" i="1" s="1"/>
  <c r="K66" i="1" a="1"/>
  <c r="K66" i="1" s="1"/>
  <c r="K359" i="1" a="1"/>
  <c r="K359" i="1" s="1"/>
  <c r="K124" i="1" a="1"/>
  <c r="K124" i="1" s="1"/>
  <c r="K369" i="1" a="1"/>
  <c r="K369" i="1" s="1"/>
  <c r="K185" i="1" a="1"/>
  <c r="K185" i="1" s="1"/>
  <c r="K360" i="1" a="1"/>
  <c r="K360" i="1" s="1"/>
  <c r="K115" i="1" a="1"/>
  <c r="K115" i="1" s="1"/>
  <c r="K32" i="1" a="1"/>
  <c r="K32" i="1" s="1"/>
  <c r="K312" i="1" a="1"/>
  <c r="K312" i="1" s="1"/>
  <c r="K327" i="1" a="1"/>
  <c r="K327" i="1" s="1"/>
  <c r="K263" i="1" a="1"/>
  <c r="K263" i="1" s="1"/>
  <c r="K170" i="1" a="1"/>
  <c r="K170" i="1" s="1"/>
  <c r="K97" i="1" a="1"/>
  <c r="K97" i="1" s="1"/>
  <c r="K116" i="1" a="1"/>
  <c r="K116" i="1" s="1"/>
  <c r="K328" i="1" a="1"/>
  <c r="K328" i="1" s="1"/>
  <c r="K177" i="1" a="1"/>
  <c r="K177" i="1" s="1"/>
  <c r="K264" i="1" a="1"/>
  <c r="K264" i="1" s="1"/>
  <c r="K304" i="1" a="1"/>
  <c r="K304" i="1" s="1"/>
  <c r="K213" i="1" a="1"/>
  <c r="K213" i="1" s="1"/>
  <c r="K442" i="1" a="1"/>
  <c r="K442" i="1" s="1"/>
  <c r="K217" i="1" a="1"/>
  <c r="K217" i="1" s="1"/>
  <c r="K261" i="1" a="1"/>
  <c r="K261" i="1" s="1"/>
  <c r="K218" i="1" a="1"/>
  <c r="K218" i="1" s="1"/>
  <c r="K371" i="1" a="1"/>
  <c r="K371" i="1" s="1"/>
  <c r="K348" i="1" a="1"/>
  <c r="K348" i="1" s="1"/>
  <c r="K372" i="1" a="1"/>
  <c r="K372" i="1" s="1"/>
  <c r="K181" i="1" a="1"/>
  <c r="K181" i="1" s="1"/>
  <c r="K10" i="1" a="1"/>
  <c r="K10" i="1" s="1"/>
  <c r="K11" i="1" a="1"/>
  <c r="K11" i="1" s="1"/>
  <c r="K346" i="1" a="1"/>
  <c r="K346" i="1" s="1"/>
  <c r="K85" i="1" a="1"/>
  <c r="K85" i="1" s="1"/>
  <c r="K78" i="1" a="1"/>
  <c r="K78" i="1" s="1"/>
  <c r="K86" i="1" a="1"/>
  <c r="K86" i="1" s="1"/>
  <c r="K338" i="1" a="1"/>
  <c r="K338" i="1" s="1"/>
  <c r="K333" i="1" a="1"/>
  <c r="K333" i="1" s="1"/>
  <c r="K334" i="1" a="1"/>
  <c r="K334" i="1" s="1"/>
  <c r="K447" i="1" a="1"/>
  <c r="K447" i="1" s="1"/>
  <c r="K321" i="1" a="1"/>
  <c r="K321" i="1" s="1"/>
  <c r="K103" i="1" a="1"/>
  <c r="K103" i="1" s="1"/>
  <c r="K322" i="1" a="1"/>
  <c r="K322" i="1" s="1"/>
  <c r="K175" i="1" a="1"/>
  <c r="K175" i="1" s="1"/>
  <c r="K48" i="1" a="1"/>
  <c r="K48" i="1" s="1"/>
  <c r="K49" i="1" a="1"/>
  <c r="K49" i="1" s="1"/>
  <c r="K290" i="1" a="1"/>
  <c r="K290" i="1" s="1"/>
  <c r="K423" i="1" a="1"/>
  <c r="K423" i="1" s="1"/>
  <c r="K375" i="1" a="1"/>
  <c r="K375" i="1" s="1"/>
  <c r="K424" i="1" a="1"/>
  <c r="K424" i="1" s="1"/>
  <c r="K379" i="1" a="1"/>
  <c r="K379" i="1" s="1"/>
  <c r="K419" i="1" a="1"/>
  <c r="K419" i="1" s="1"/>
  <c r="K380" i="1" a="1"/>
  <c r="K380" i="1" s="1"/>
  <c r="K168" i="1" a="1"/>
  <c r="K168" i="1" s="1"/>
  <c r="K318" i="1" a="1"/>
  <c r="K318" i="1" s="1"/>
  <c r="K367" i="1" a="1"/>
  <c r="K367" i="1" s="1"/>
  <c r="K416" i="1" a="1"/>
  <c r="K416" i="1" s="1"/>
  <c r="K400" i="1" a="1"/>
  <c r="K400" i="1" s="1"/>
  <c r="K319" i="1" a="1"/>
  <c r="K319" i="1" s="1"/>
  <c r="K35" i="1" a="1"/>
  <c r="K35" i="1" s="1"/>
  <c r="K350" i="1" a="1"/>
  <c r="K350" i="1" s="1"/>
  <c r="K42" i="1" a="1"/>
  <c r="K42" i="1" s="1"/>
  <c r="K351" i="1" a="1"/>
  <c r="K351" i="1" s="1"/>
  <c r="K430" i="1" a="1"/>
  <c r="K430" i="1" s="1"/>
  <c r="K288" i="1" a="1"/>
  <c r="K288" i="1" s="1"/>
  <c r="K431" i="1" a="1"/>
  <c r="K431" i="1" s="1"/>
  <c r="K146" i="1" a="1"/>
  <c r="K146" i="1" s="1"/>
  <c r="K69" i="1" a="1"/>
  <c r="K69" i="1" s="1"/>
  <c r="K107" i="1" a="1"/>
  <c r="K107" i="1" s="1"/>
  <c r="K289" i="1" a="1"/>
  <c r="K289" i="1" s="1"/>
  <c r="K56" i="1" a="1"/>
  <c r="K56" i="1" s="1"/>
  <c r="K57" i="1" a="1"/>
  <c r="K57" i="1" s="1"/>
  <c r="K87" i="1" a="1"/>
  <c r="K87" i="1" s="1"/>
  <c r="K88" i="1" a="1"/>
  <c r="K88" i="1" s="1"/>
  <c r="K222" i="1" a="1"/>
  <c r="K222" i="1" s="1"/>
  <c r="K190" i="1" a="1"/>
  <c r="K190" i="1" s="1"/>
  <c r="K223" i="1" a="1"/>
  <c r="K223" i="1" s="1"/>
  <c r="K191" i="1" a="1"/>
  <c r="K191" i="1" s="1"/>
  <c r="K183" i="1" a="1"/>
  <c r="K183" i="1" s="1"/>
  <c r="K184" i="1" a="1"/>
  <c r="K184" i="1" s="1"/>
  <c r="K201" i="1" a="1"/>
  <c r="K201" i="1" s="1"/>
  <c r="K361" i="1" a="1"/>
  <c r="K361" i="1" s="1"/>
  <c r="K362" i="1" a="1"/>
  <c r="K362" i="1" s="1"/>
  <c r="K255" i="1" a="1"/>
  <c r="K255" i="1" s="1"/>
  <c r="K28" i="1" a="1"/>
  <c r="K28" i="1" s="1"/>
  <c r="K256" i="1" a="1"/>
  <c r="K256" i="1" s="1"/>
  <c r="K29" i="1" a="1"/>
  <c r="K29" i="1" s="1"/>
  <c r="K160" i="1" a="1"/>
  <c r="K160" i="1" s="1"/>
  <c r="K161" i="1" a="1"/>
  <c r="K161" i="1" s="1"/>
  <c r="K342" i="1" a="1"/>
  <c r="K342" i="1" s="1"/>
  <c r="K279" i="1" a="1"/>
  <c r="K279" i="1" s="1"/>
  <c r="K343" i="1" a="1"/>
  <c r="K343" i="1" s="1"/>
  <c r="K129" i="1" a="1"/>
  <c r="K129" i="1" s="1"/>
  <c r="K130" i="1" a="1"/>
  <c r="K130" i="1" s="1"/>
  <c r="K407" i="1" a="1"/>
  <c r="K407" i="1" s="1"/>
  <c r="K142" i="1" a="1"/>
  <c r="K142" i="1" s="1"/>
  <c r="K316" i="1" a="1"/>
  <c r="K316" i="1" s="1"/>
  <c r="K239" i="1" a="1"/>
  <c r="K239" i="1" s="1"/>
  <c r="K143" i="1" a="1"/>
  <c r="K143" i="1" s="1"/>
  <c r="K317" i="1" a="1"/>
  <c r="K317" i="1" s="1"/>
  <c r="K251" i="1" a="1"/>
  <c r="K251" i="1" s="1"/>
  <c r="K277" i="1" a="1"/>
  <c r="K277" i="1" s="1"/>
  <c r="K252" i="1" a="1"/>
  <c r="K252" i="1" s="1"/>
  <c r="K278" i="1" a="1"/>
  <c r="K278" i="1" s="1"/>
  <c r="K226" i="1" a="1"/>
  <c r="K226" i="1" s="1"/>
  <c r="K62" i="1" a="1"/>
  <c r="K62" i="1" s="1"/>
  <c r="K63" i="1" a="1"/>
  <c r="K63" i="1" s="1"/>
  <c r="K73" i="1" a="1"/>
  <c r="K73" i="1" s="1"/>
  <c r="K412" i="1" a="1"/>
  <c r="K412" i="1" s="1"/>
  <c r="K74" i="1" a="1"/>
  <c r="K74" i="1" s="1"/>
  <c r="K413" i="1" a="1"/>
  <c r="K413" i="1" s="1"/>
  <c r="K202" i="1" a="1"/>
  <c r="K202" i="1" s="1"/>
  <c r="K352" i="1" a="1"/>
  <c r="K352" i="1" s="1"/>
  <c r="K445" i="1" a="1"/>
  <c r="K445" i="1" s="1"/>
  <c r="K446" i="1" a="1"/>
  <c r="K446" i="1" s="1"/>
  <c r="K58" i="1" a="1"/>
  <c r="K58" i="1" s="1"/>
  <c r="K59" i="1" a="1"/>
  <c r="K59" i="1" s="1"/>
  <c r="K357" i="1" a="1"/>
  <c r="K357" i="1" s="1"/>
  <c r="K113" i="1" a="1"/>
  <c r="K113" i="1" s="1"/>
  <c r="K133" i="1" a="1"/>
  <c r="K133" i="1" s="1"/>
  <c r="K358" i="1" a="1"/>
  <c r="K358" i="1" s="1"/>
  <c r="K366" i="1" a="1"/>
  <c r="K366" i="1" s="1"/>
  <c r="K114" i="1" a="1"/>
  <c r="K114" i="1" s="1"/>
  <c r="K134" i="1" a="1"/>
  <c r="K134" i="1" s="1"/>
  <c r="K408" i="1" a="1"/>
  <c r="K408" i="1" s="1"/>
  <c r="K409" i="1" a="1"/>
  <c r="K409" i="1" s="1"/>
  <c r="K307" i="1" a="1"/>
  <c r="K307" i="1" s="1"/>
  <c r="K308" i="1" a="1"/>
  <c r="K308" i="1" s="1"/>
  <c r="K196" i="1" a="1"/>
  <c r="K196" i="1" s="1"/>
  <c r="K80" i="1" a="1"/>
  <c r="K80" i="1" s="1"/>
  <c r="K404" i="1" a="1"/>
  <c r="K404" i="1" s="1"/>
  <c r="K394" i="1" a="1"/>
  <c r="K394" i="1" s="1"/>
  <c r="K285" i="1" a="1"/>
  <c r="K285" i="1" s="1"/>
  <c r="K340" i="1" a="1"/>
  <c r="K340" i="1" s="1"/>
  <c r="K395" i="1" a="1"/>
  <c r="K395" i="1" s="1"/>
  <c r="K341" i="1" a="1"/>
  <c r="K341" i="1" s="1"/>
  <c r="K219" i="1" a="1"/>
  <c r="K219" i="1" s="1"/>
  <c r="K220" i="1" a="1"/>
  <c r="K220" i="1" s="1"/>
  <c r="K14" i="1" a="1"/>
  <c r="K14" i="1" s="1"/>
  <c r="K15" i="1" a="1"/>
  <c r="K15" i="1" s="1"/>
  <c r="K267" i="1" a="1"/>
  <c r="K267" i="1" s="1"/>
  <c r="K89" i="1" a="1"/>
  <c r="K89" i="1" s="1"/>
  <c r="K268" i="1" a="1"/>
  <c r="K268" i="1" s="1"/>
  <c r="K90" i="1" a="1"/>
  <c r="K90" i="1" s="1"/>
  <c r="K302" i="1" a="1"/>
  <c r="K302" i="1" s="1"/>
  <c r="K303" i="1" a="1"/>
  <c r="K303" i="1" s="1"/>
  <c r="K389" i="1" a="1"/>
  <c r="K389" i="1" s="1"/>
  <c r="K390" i="1" a="1"/>
  <c r="K390" i="1" s="1"/>
  <c r="K405" i="1" a="1"/>
  <c r="K405" i="1" s="1"/>
  <c r="K356" i="1" a="1"/>
  <c r="K356" i="1" s="1"/>
  <c r="K296" i="1" a="1"/>
  <c r="K296" i="1" s="1"/>
  <c r="K54" i="1" a="1"/>
  <c r="K54" i="1" s="1"/>
  <c r="K55" i="1" a="1"/>
  <c r="K55" i="1" s="1"/>
  <c r="K280" i="1" a="1"/>
  <c r="K280" i="1" s="1"/>
  <c r="K281" i="1" a="1"/>
  <c r="K281" i="1" s="1"/>
  <c r="K410" i="1" a="1"/>
  <c r="K410" i="1" s="1"/>
  <c r="K411" i="1" a="1"/>
  <c r="K411" i="1" s="1"/>
  <c r="K406" i="1" a="1"/>
  <c r="K406" i="1" s="1"/>
  <c r="K323" i="1" a="1"/>
  <c r="K323" i="1" s="1"/>
  <c r="K247" i="1" a="1"/>
  <c r="K247" i="1" s="1"/>
  <c r="K417" i="1" a="1"/>
  <c r="K417" i="1" s="1"/>
  <c r="K179" i="1" a="1"/>
  <c r="K179" i="1" s="1"/>
  <c r="K248" i="1" a="1"/>
  <c r="K248" i="1" s="1"/>
  <c r="K418" i="1" a="1"/>
  <c r="K418" i="1" s="1"/>
  <c r="K180" i="1" a="1"/>
  <c r="K180" i="1" s="1"/>
  <c r="K44" i="1" a="1"/>
  <c r="K44" i="1" s="1"/>
  <c r="K45" i="1" a="1"/>
  <c r="K45" i="1" s="1"/>
  <c r="K324" i="1" a="1"/>
  <c r="K324" i="1" s="1"/>
  <c r="K393" i="1" a="1"/>
  <c r="K393" i="1" s="1"/>
  <c r="K265" i="1" a="1"/>
  <c r="K265" i="1" s="1"/>
  <c r="K148" i="1" a="1"/>
  <c r="K148" i="1" s="1"/>
  <c r="K266" i="1" a="1"/>
  <c r="K266" i="1" s="1"/>
  <c r="K149" i="1" a="1"/>
  <c r="K149" i="1" s="1"/>
  <c r="K131" i="1" a="1"/>
  <c r="K131" i="1" s="1"/>
  <c r="K132" i="1" a="1"/>
  <c r="K132" i="1" s="1"/>
  <c r="K34" i="1" a="1"/>
  <c r="K34" i="1" s="1"/>
  <c r="K436" i="1" a="1"/>
  <c r="K436" i="1" s="1"/>
  <c r="K299" i="1" a="1"/>
  <c r="K299" i="1" s="1"/>
  <c r="K437" i="1" a="1"/>
  <c r="K437" i="1" s="1"/>
  <c r="K385" i="1" a="1"/>
  <c r="K385" i="1" s="1"/>
  <c r="K386" i="1" a="1"/>
  <c r="K386" i="1" s="1"/>
  <c r="K21" i="1" a="1"/>
  <c r="K21" i="1" s="1"/>
  <c r="K311" i="1" a="1"/>
  <c r="K311" i="1" s="1"/>
  <c r="K243" i="1" a="1"/>
  <c r="K243" i="1" s="1"/>
  <c r="K158" i="1" a="1"/>
  <c r="K158" i="1" s="1"/>
  <c r="K159" i="1" a="1"/>
  <c r="K159" i="1" s="1"/>
  <c r="K421" i="1" a="1"/>
  <c r="K421" i="1" s="1"/>
  <c r="K258" i="1" a="1"/>
  <c r="K258" i="1" s="1"/>
  <c r="K46" i="1" a="1"/>
  <c r="K46" i="1" s="1"/>
  <c r="K110" i="1" a="1"/>
  <c r="K110" i="1" s="1"/>
  <c r="K47" i="1" a="1"/>
  <c r="K47" i="1" s="1"/>
  <c r="K438" i="1" a="1"/>
  <c r="K438" i="1" s="1"/>
  <c r="K84" i="1" a="1"/>
  <c r="K84" i="1" s="1"/>
  <c r="K439" i="1" a="1"/>
  <c r="K439" i="1" s="1"/>
  <c r="K195" i="1" a="1"/>
  <c r="K195" i="1" s="1"/>
  <c r="K208" i="1" a="1"/>
  <c r="K208" i="1" s="1"/>
  <c r="K377" i="1" a="1"/>
  <c r="K377" i="1" s="1"/>
  <c r="K378" i="1" a="1"/>
  <c r="K378" i="1" s="1"/>
  <c r="K329" i="1" a="1"/>
  <c r="K329" i="1" s="1"/>
  <c r="K428" i="1" a="1"/>
  <c r="K428" i="1" s="1"/>
  <c r="K283" i="1" a="1"/>
  <c r="K283" i="1" s="1"/>
  <c r="K330" i="1" a="1"/>
  <c r="K330" i="1" s="1"/>
  <c r="K205" i="1" a="1"/>
  <c r="K205" i="1" s="1"/>
  <c r="K206" i="1" a="1"/>
  <c r="K206" i="1" s="1"/>
  <c r="K120" i="1" a="1"/>
  <c r="K120" i="1" s="1"/>
  <c r="K228" i="1" a="1"/>
  <c r="K228" i="1" s="1"/>
  <c r="K229" i="1" a="1"/>
  <c r="K229" i="1" s="1"/>
  <c r="K209" i="1" a="1"/>
  <c r="K209" i="1" s="1"/>
  <c r="K106" i="1" a="1"/>
  <c r="K106" i="1" s="1"/>
  <c r="K210" i="1" a="1"/>
  <c r="K210" i="1" s="1"/>
  <c r="K286" i="1" a="1"/>
  <c r="K286" i="1" s="1"/>
  <c r="K287" i="1" a="1"/>
  <c r="K287" i="1" s="1"/>
  <c r="K276" i="1" a="1"/>
  <c r="K276" i="1" s="1"/>
  <c r="K336" i="1" a="1"/>
  <c r="K336" i="1" s="1"/>
  <c r="K337" i="1" a="1"/>
  <c r="K337" i="1" s="1"/>
  <c r="K387" i="1" a="1"/>
  <c r="K387" i="1" s="1"/>
  <c r="K165" i="1" a="1"/>
  <c r="K165" i="1" s="1"/>
  <c r="K388" i="1" a="1"/>
  <c r="K388" i="1" s="1"/>
  <c r="K253" i="1" a="1"/>
  <c r="K253" i="1" s="1"/>
  <c r="K254" i="1" a="1"/>
  <c r="K254" i="1" s="1"/>
  <c r="K126" i="1" a="1"/>
  <c r="K126" i="1" s="1"/>
  <c r="K237" i="1" a="1"/>
  <c r="K237" i="1" s="1"/>
  <c r="K238" i="1" a="1"/>
  <c r="K238" i="1" s="1"/>
  <c r="K18" i="1" a="1"/>
  <c r="K18" i="1" s="1"/>
  <c r="K67" i="1" a="1"/>
  <c r="K67" i="1" s="1"/>
  <c r="K19" i="1" a="1"/>
  <c r="K19" i="1" s="1"/>
  <c r="K331" i="1" a="1"/>
  <c r="K331" i="1" s="1"/>
  <c r="K186" i="1" a="1"/>
  <c r="K186" i="1" s="1"/>
  <c r="K111" i="1" a="1"/>
  <c r="K111" i="1" s="1"/>
  <c r="K332" i="1" a="1"/>
  <c r="K332" i="1" s="1"/>
  <c r="K370" i="1" a="1"/>
  <c r="K370" i="1" s="1"/>
  <c r="K313" i="1" a="1"/>
  <c r="K313" i="1" s="1"/>
  <c r="K112" i="1" a="1"/>
  <c r="K112" i="1" s="1"/>
  <c r="K309" i="1" a="1"/>
  <c r="K309" i="1" s="1"/>
  <c r="K33" i="1" a="1"/>
  <c r="K33" i="1" s="1"/>
  <c r="K98" i="1" a="1"/>
  <c r="K98" i="1" s="1"/>
  <c r="K310" i="1" a="1"/>
  <c r="K310" i="1" s="1"/>
  <c r="K197" i="1" a="1"/>
  <c r="K197" i="1" s="1"/>
  <c r="K171" i="1" a="1"/>
  <c r="K171" i="1" s="1"/>
  <c r="K198" i="1" a="1"/>
  <c r="K198" i="1" s="1"/>
  <c r="K440" i="1" a="1"/>
  <c r="K440" i="1" s="1"/>
  <c r="K178" i="1" a="1"/>
  <c r="K178" i="1" s="1"/>
  <c r="K441" i="1" a="1"/>
  <c r="K441" i="1" s="1"/>
  <c r="K344" i="1" a="1"/>
  <c r="K344" i="1" s="1"/>
  <c r="K214" i="1" a="1"/>
  <c r="K214" i="1" s="1"/>
  <c r="K345" i="1" a="1"/>
  <c r="K345" i="1" s="1"/>
  <c r="K391" i="1" a="1"/>
  <c r="K391" i="1" s="1"/>
  <c r="K262" i="1" a="1"/>
  <c r="K262" i="1" s="1"/>
  <c r="K392" i="1" a="1"/>
  <c r="K392" i="1" s="1"/>
  <c r="K101" i="1" a="1"/>
  <c r="K101" i="1" s="1"/>
  <c r="K349" i="1" a="1"/>
  <c r="K349" i="1" s="1"/>
  <c r="K102" i="1" a="1"/>
  <c r="K102" i="1" s="1"/>
  <c r="K182" i="1" a="1"/>
  <c r="K182" i="1" s="1"/>
  <c r="K154" i="1" a="1"/>
  <c r="K154" i="1" s="1"/>
  <c r="K155" i="1" a="1"/>
  <c r="K155" i="1" s="1"/>
  <c r="K347" i="1" a="1"/>
  <c r="K347" i="1" s="1"/>
  <c r="K91" i="1" a="1"/>
  <c r="K91" i="1" s="1"/>
  <c r="K79" i="1" a="1"/>
  <c r="K79" i="1" s="1"/>
  <c r="K92" i="1" a="1"/>
  <c r="K92" i="1" s="1"/>
  <c r="K339" i="1" a="1"/>
  <c r="K339" i="1" s="1"/>
  <c r="K434" i="1" a="1"/>
  <c r="K434" i="1" s="1"/>
  <c r="K435" i="1" a="1"/>
  <c r="K435" i="1" s="1"/>
  <c r="K448" i="1" a="1"/>
  <c r="K448" i="1" s="1"/>
  <c r="K64" i="1" a="1"/>
  <c r="K64" i="1" s="1"/>
  <c r="K104" i="1" a="1"/>
  <c r="K104" i="1" s="1"/>
  <c r="K65" i="1" a="1"/>
  <c r="K65" i="1" s="1"/>
  <c r="K176" i="1" a="1"/>
  <c r="K176" i="1" s="1"/>
  <c r="K152" i="1" a="1"/>
  <c r="K152" i="1" s="1"/>
  <c r="K153" i="1" a="1"/>
  <c r="K153" i="1" s="1"/>
  <c r="K291" i="1" a="1"/>
  <c r="K291" i="1" s="1"/>
  <c r="K52" i="1" a="1"/>
  <c r="K52" i="1" s="1"/>
  <c r="K376" i="1" a="1"/>
  <c r="K376" i="1" s="1"/>
  <c r="K53" i="1" a="1"/>
  <c r="K53" i="1" s="1"/>
  <c r="K187" i="1" a="1"/>
  <c r="K187" i="1" s="1"/>
  <c r="K420" i="1" a="1"/>
  <c r="K420" i="1" s="1"/>
  <c r="K188" i="1" a="1"/>
  <c r="K188" i="1" s="1"/>
  <c r="K169" i="1" a="1"/>
  <c r="K169" i="1" s="1"/>
  <c r="K137" i="1" a="1"/>
  <c r="K137" i="1" s="1"/>
  <c r="K368" i="1" a="1"/>
  <c r="K368" i="1" s="1"/>
  <c r="K138" i="1" a="1"/>
  <c r="K138" i="1" s="1"/>
  <c r="K401" i="1" a="1"/>
  <c r="K401" i="1" s="1"/>
  <c r="K363" i="1" a="1"/>
  <c r="K363" i="1" s="1"/>
  <c r="K36" i="1" a="1"/>
  <c r="K36" i="1" s="1"/>
  <c r="K364" i="1" a="1"/>
  <c r="K364" i="1" s="1"/>
  <c r="K43" i="1" a="1"/>
  <c r="K43" i="1" s="1"/>
  <c r="K173" i="1" a="1"/>
  <c r="K173" i="1" s="1"/>
  <c r="K174" i="1" a="1"/>
  <c r="K174" i="1" s="1"/>
  <c r="K147" i="1" a="1"/>
  <c r="K147" i="1" s="1"/>
  <c r="K70" i="1" a="1"/>
  <c r="K70" i="1" s="1"/>
  <c r="K108" i="1" a="1"/>
  <c r="K108" i="1" s="1"/>
  <c r="K141" i="1" a="1"/>
  <c r="K141" i="1" s="1"/>
  <c r="K320" i="1" a="1"/>
  <c r="K320"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<sst xmlns="http://schemas.openxmlformats.org/spreadsheetml/2006/main" count="6331" uniqueCount="2082">
  <si>
    <t>Snapshot</t>
  </si>
  <si>
    <t>ID</t>
  </si>
  <si>
    <t>Source_Sheet</t>
  </si>
  <si>
    <t>Source_Row</t>
  </si>
  <si>
    <t>STT_RAW</t>
  </si>
  <si>
    <t>VPLĐ_Group</t>
  </si>
  <si>
    <t>Topic_Group</t>
  </si>
  <si>
    <t>KHỐI</t>
  </si>
  <si>
    <t>Tóm tắt nội dung chỉ đạo</t>
  </si>
  <si>
    <t>Kỳ họp (RAW)</t>
  </si>
  <si>
    <t>Kỳ họp đầu tiên (Date)</t>
  </si>
  <si>
    <t>Kỳ họp mới nhất (Date)</t>
  </si>
  <si>
    <t>Tổng số kỳ họp</t>
  </si>
  <si>
    <t>Thời hạn (RAW)</t>
  </si>
  <si>
    <t>Thời hạn đầu tiên (Date)</t>
  </si>
  <si>
    <t>Thời hạn mới nhất (Date)</t>
  </si>
  <si>
    <t>Số lần thay đổi thời hạn</t>
  </si>
  <si>
    <t>Số ngày còn lại</t>
  </si>
  <si>
    <t>Kết quả/tiến độ đến thời điểm báo cáo</t>
  </si>
  <si>
    <t>Hoàn Thành</t>
  </si>
  <si>
    <t>Thực hiện đúng tiến độ</t>
  </si>
  <si>
    <t>Chưa hoàn thành</t>
  </si>
  <si>
    <t>Dự kiến thời gian hoàn thành (RAW)</t>
  </si>
  <si>
    <t>Dự kiến đầu tiên (Date)</t>
  </si>
  <si>
    <t>Dự kiến mới nhất (Date)</t>
  </si>
  <si>
    <t>Số lần thay đổi dự kiến</t>
  </si>
  <si>
    <t>Chênh lệch dự kiến so với thời hạn (Ngày)</t>
  </si>
  <si>
    <t>DIR-EE7A686AB02B</t>
  </si>
  <si>
    <t>Ban XLN</t>
  </si>
  <si>
    <t>1.0</t>
  </si>
  <si>
    <t>CHỈ ĐẠO TRỌNG TÂM</t>
  </si>
  <si>
    <t>Chấm dữ liệu, quản lý và đối soát các khoản nợ đã bán cho VAMC trước đây và đã xử lý rủi ro, theo dõi gốc, lãi phục vụ hiệu quả công tác thu hồi nợ.</t>
  </si>
  <si>
    <t>Kỳ họp ngày 08/8/2026</t>
  </si>
  <si>
    <t>Trước 31/8/2026</t>
  </si>
  <si>
    <t>BXLN đang rà soát nợ gốc, nợ lãi của các khoản nợ xấu
bán cho VAMC trước đây và XLRR để phục vụ công tác XLN</t>
  </si>
  <si>
    <t>X</t>
  </si>
  <si>
    <t>30/09/2026</t>
  </si>
  <si>
    <t>REVIEW_TOPIC_GROUP</t>
  </si>
  <si>
    <t>DIR-A991B2499228</t>
  </si>
  <si>
    <t>2.0</t>
  </si>
  <si>
    <t>Thống nhất chủ trương ưu tiên nhận cấn trừ tài sản bảo đảm đối với các khoản nợ đã đấu giá nhiều lần không thành công nhằm hạn chế tổn thất do giảm giá sâu. Báo cáo chi tiết 2-3 hồ sơ nợ trọng điểm đang khó xử lý cho Chủ tịch HĐTV</t>
  </si>
  <si>
    <t>Trước 12/8/2026</t>
  </si>
  <si>
    <t>BXLN đang rà soát các TSBĐ bán đấu giá giảm giá nhiều lần
và có báo cáo chi tiết cho Chủ tịch HĐTV</t>
  </si>
  <si>
    <t>DIR-2C364476363E</t>
  </si>
  <si>
    <t>CONG NGHE</t>
  </si>
  <si>
    <t>1</t>
  </si>
  <si>
    <t>1. Thẻ VikkiONE Connect:
- Trước ngày 30/3/2026: Hoàn thành tất cả các công việc theo Quy trình phát triển sản phẩm, Quy trình ra mắt sản phẩm, bao gồm các bộ tài liệu phục vụ bán hàng, tài liệu đào tạo.
- Kế hoạch công bố 15/04/2026, Thẻ VikkiONE Connect là dòng thẻ đa năng, tích hợp thẻ tín dụng quốc tế và chấm công, định danh, ra vào cơ quan,… cá nhân hóa, thiết kế đẹp, cam kết dịch vụ nhanh (24/7),…
2. Đối với Hệ thống Security (camera, tập hợp hình ảnh/phân tích) cho VikkiONE Connect phải là hệ thống thuộc ngân hàng làm chủ, Trung tâm CNTT chịu trách nhiệm</t>
  </si>
  <si>
    <t>Kỳ họp ngày 14/03/2026
Kỳ họp ngày 28/03/2026</t>
  </si>
  <si>
    <t>Ngày 30/03/2026
Ngày 15/04/2026</t>
  </si>
  <si>
    <t>TTT phối hợp BDA đã hoàn thành
- Tài liệu bán hàng cho đối tác
- Tài liệu đào tạo cho CBNV
- Các Video giới thiệu.
Đã Ban hành Quy định sản phẩm và các quy trình nghiệp vụ phát hành và vận hành thẻ, mẫu biểu/hợp đồng.
Tờ trình chủ trương triển khai rộng rãi toàn hàng đã được duyệt ngày 21/04/2025
Trình ký ban hành quyết định triển khai toàn hàng và ban hành biểu phí, lãi suất, hạn mức.
Đã phát hành thẻ vật lý VikkiONE Connect cho Vikki Bank, HDBank, thẻ Global CEO, Thẻ Đại hội cổ đông, Satra, Victoria, DATMC.
BDA Thẻ vạn năng VikkiONE Connect sẽ có biên bản chuyển giao tài liệu, công nghệ, giải pháp iOT cho TTCN của Vikki Bank.
7/7/2026: họp rà soát chuẩn bị kế hoạch Launching sản phẩm.
29/7/2026: Marketing &amp; PR đã hoàn thành dự thảo kế hoạch Marketing, chi phí Marekting đã được duyệt. BDA đang xin lịch trình bày đến Chủ sở hữu để phê duyệt rollout sản phẩm.
15/8/2026: BDA đã trình bày với Madam trong buổi kickoff FINX Digital Factory và Core T24 kickoff để trình rollout sản phẩm Thẻ VikkiONE Connect
22/8/2026: BDA đã trình bày với Madam, đang điều chỉnh Playbook theo chỉ đạo của Madam.</t>
  </si>
  <si>
    <t>Thực hiện theo tiến độ</t>
  </si>
  <si>
    <t>DIR-F4C7118E214D</t>
  </si>
  <si>
    <t>2</t>
  </si>
  <si>
    <t>NHBL xây dựng team chỉ đạo chi nhánh về triển khai kinh doanh hợp tác với Satra</t>
  </si>
  <si>
    <t>Kỳ họp ngày 18/4/2026</t>
  </si>
  <si>
    <t>TTT đã thống nhất NDA, MOU, hợp đồng hợp tác đã thống nhất với Satar.
Đã hoàn thành thiết kế mẫu thẻ.
Đã thống nhất kế hoạch triển khai và ưu đãi với Satar.
Giai đoạn 1: triển khai thẻ Prepaid cho KH mua vé tháng, vé quý tại Metro, sử dụng thẻ nhận ưu đãi voucher của Satra và Vikki Bank.
Giai đoạn 2: triển khai Thẻ VikkiONE cho 200 CBNV Văn phòng Satra
Giai đoạn 3: Triển khai 14.000 CBNV thuộc tập đoàn Satra và KH thân thiết.
23/6 họp kỹ thuật giải pháp triển khai evoucher (FINX, Satra HURC và Vikki Bank)
'14/7/2026: đề nghị Mastercard tài trợ cho sản phẩm Thẻ VikkiONE dành cho Satra để xây dựng ưu đãi riêng cho sản phẩm này.
'6/8/2026: TTT Vikki Bank trình chi phí khuyến mãi từ nguồn chi phí của Vikki Bank dể triển khai cho chủ thẻ liên kết với Satra.
22/8: TTT đề xuất điều chỉnh đối tượng áp dụng từ KH thân thiết của Satar thành KH tham gia metro, đang chờ Satra phản hồi.</t>
  </si>
  <si>
    <t>DIR-4F4ED7D26C70</t>
  </si>
  <si>
    <t>3</t>
  </si>
  <si>
    <t>Gói sản phẩm thẻ: chuyển thông điệp bán hàng sang các loại thẻ dễ tiếp cận như thẻ tín dụng, thẻ debit cho doanh nghiệp, không nhấn mạnh thẻ nhân viên; xây dựng các combo sản phẩm theo đặc thù nghề nghiệp (bác sĩ, giáo viên, bảo vệ) và cá nhân hóa chính sách cấp thẻ.</t>
  </si>
  <si>
    <t>Kỳ họp ngày 16/5/2026</t>
  </si>
  <si>
    <t>Kế hoạch 6 tháng cuối năm, TTT sẽ triển khai sản phẩm Vikki JCB Ultimate tập trung cho 3 đối tượng KH là Phụ nữ, Nam và giới trẻ GenZ có nguồn thu nhập từ 15 triệu đồng trở lên. Marketing đã gửi KV sản phẩm. Axis đã gửi báo có nghiên cứu thị trường, TTT chuẩn bị trình hội đồng sản phẩm, dự kiến trình trong tháng 8/2026.
Chính sách ưu đãi cho sản phẩm sẽ phù hợp theo nhu cầu theo từng nhóm KH: ưu đãi phòng chờ sân bay không giới hạn nếu KH thỏa điều kiện doanh số giao dịch, xây dựng 3 gói tích điểm linh hoạt.
Về cá nhân hóa chính sách cấp thẻ: TTT đã ban hành chính sách cấp thẻ tín dụng cho 37 nhóm đối tượng KH (nhận lương, Card to Card, sở hữu nhà/xe, dựa vào quan hệ tín dụng, tiền gửi, chủ doanh nghiệp ...) từ tháng 08/2026 và bổ sung mở rộng các đối tượng phát sinh.
- Đã chọn mẫu thiết kết thẻ cho JCB
- Đã thiết kế Card Carrier cho Thẻ JCB.
- Tờ trình triển khai pilot Thẻ JCB.
- Khởi động dự án Thẻ SkyJOY phát hành bởi JCB.</t>
  </si>
  <si>
    <t>Thực hiện xuyên suốt</t>
  </si>
  <si>
    <t>DIR-F9E630F64752</t>
  </si>
  <si>
    <t>4</t>
  </si>
  <si>
    <t>Về chất lượng thẻ tín dụng
Giao Ngân hàng Bán lẻ rà soát chính sách phát hành, mô hình chấm điểm và tiêu chí lựa chọn khách hàng; không tiếp tục phát hành đại trà các dòng thẻ rủi ro cao; ưu tiên khách hàng trả lương và khách hàng của đối tác có dữ liệu rõ ràng; đồng thời nghiên cứu cơ chế quản lý tập trung tại Hội sở đối với các khoản thẻ phát hành qua kênh số. Kết quả rà soát và trình điều chỉnh chính sách trước ngày 25/7/2026.</t>
  </si>
  <si>
    <t>Kỳ họp ngày 13/7/2026</t>
  </si>
  <si>
    <t>trước ngày 25/7/2026</t>
  </si>
  <si>
    <t>- TTT đã báo cáo tình hình nợ thẻ tín dụng, đánh giá chất lượng nợ và giải pháp hạn chế nợ quá hạn theo báo cáo số 04/2026/BC-NHBL-TTT ngày 17/07/2026. Bộ tiêu chí cấp thẻ đã được giới hạn lại về độ tuổi, lịch sử CIC, đối tượng KH.
- Liên quan ưu tiên khách hàng trả lương, khách hàng của đối tác có dữ liệu rõ ràng, TTT phát triển cấp hạn mức cho KH thông qua sản phẩm VikkiONE Connect. TTT đang thực hiện theo kết luận chỉ đạo cấp hạn mức tối thiểu 3 triệu đồng cho CBNV của doanh nghiệp. 7/9 đã gửi PC, QTRR, KTD góp ý. dự kiến trình ký ngày 14/9/2026.
- Về mô hình chấm điểm tín dụng: TTT đang trình giải pháp chấm điểm tín dụng và phòng chống gian lận của Data Nest. Ký thỏa thuận bảo mật thông tin với 3 nhà mạng viễn thông.</t>
  </si>
  <si>
    <t>DIR-52A6E8B1DD3B</t>
  </si>
  <si>
    <t>5</t>
  </si>
  <si>
    <t>Đặt ATM và các dịch vụ cùng Master Card cho các Trạm công dân số ở TPHCM (tài trợ 168 điểm), theo hướng Master Card ký hợp đồng với Galaxay Pay là Fintech địa phương. Giao Marketing, Trung tâm Thẻ phối hợp triển khai.</t>
  </si>
  <si>
    <t>Kỳ họp ngày 01/8/2026</t>
  </si>
  <si>
    <t>Trước ngày 30/8/
2026</t>
  </si>
  <si>
    <t>Ngày 19/8/2026, GoTrust và Vikki Bank đã ký hợp đồng hợp tác.
Đã tạm ứng lần 1 cho GoTrust để triển khai các Trạm công dân số.
Vikki Bank, GoTrust và Mastercard đã họp quy trình triển khai đến 30/8/2026.
Marketing đang thực hiện kế hoạch truyền thông
Về mẫu thẻ: đã lấy ý kiến của CA TPHCM, đang edit round 2 theo phản hồi của CA TPHCM.
Về Trạm CDS: cung cấp thông số ATM H68.
Về tích hợp app: team app và GoTrust đang thực hiện</t>
  </si>
  <si>
    <t>DIR-213A32D6F920</t>
  </si>
  <si>
    <t>6</t>
  </si>
  <si>
    <t>Thành lập tổ công tác đặc trách nhằm tập trung nguồn lực triển khai thẻ Vikki One Connect tại: HDBank, Marina IFC, GIH; các chương trình Công dân số (phối hợp C06), Trạm công dân số (phối hợp Mastercard), Thành phố thông minh, Chính quyền điện tử và khối trường học, bệnh viện. Yêu cầu hoàn thiện đồng bộ bộ công cụ bán hàng, kịch bản kinh doanh, chiến dịch truyền thông, chính sách hậu mãi; xây dựng phương án tài chính (PnL) và khung quản trị rủi ro.</t>
  </si>
  <si>
    <t>Quý 3/2026</t>
  </si>
  <si>
    <t>Đã phát hành thẻ VikkiONE Connect cho hơn 6.900 CBNV của HDBank và đã giao thẻ vật lý cho CBNV. Tiếp tục
Thực hiện cập nhật hạn mức thẻ tín dụng cho CBNV HDBank theo chức danh.
Đã phát hành thẻ VikkiONE Connect cho Vikki Bank, Axis, DAMTC, VikkiS, UEF.
Chương trình Trạm công dân số;
+ TTT đang phối hợp với Mastercard, C06 xây dựng trạm công dân số tại 168 điểm trạm công dân số trên cả nước.
+ Phát hành thẻ e-citizen cho người dân đến trạm công dân số trải nghiệm và đăng ký dịch vụ.
+ Xây dựng các chương trình truyền thông thu hút KH đến Trạm công dân số để trải nghiệm.
+ Xây dựng các CPV của Thẻ eCitizen.
+ 4/9: Thống nhất thiết kế mẫu thẻ, chuyển app cập nhật mẫu thẻ lên app, đặt hàng app tích hợp SDK</t>
  </si>
  <si>
    <t>DIR-6B1F40E68DDB</t>
  </si>
  <si>
    <t>7</t>
  </si>
  <si>
    <t>Đưa thẻ Vikki One Connec vào cùng chương trình Hello Tommorrow để các team cùng thực hành. Vận hành lại đầy đủ Quy trình phát triển sản phẩm và quy trình Ra mắt sản phẩm với thẻ Vikki One Connect.</t>
  </si>
  <si>
    <t>Tháng 8/2026</t>
  </si>
  <si>
    <t>15/8 và 22/8 đã trình bày với Madam để rollout sản phẩm. BDA đang bổ sung Playbook theo góp ý của Madam</t>
  </si>
  <si>
    <t>DIR-DE7DD51EB9D6</t>
  </si>
  <si>
    <t>8</t>
  </si>
  <si>
    <t>Thực hiện kết nối thẻ Vikki One Connect vào các hệ thống: Định giá đất đai, cấp phép thành lập doanh nghiệp (Sở Tài chính), cấp phép xây dựng (Sở Xây dựng), quản lý hạ tầng công ích (điện, nước, rác thải) và quản lý công chức. Tích hợp tính năng đóng góp từ thiện (tiền mặt, điểm thưởng, hiện vật qua QR) vào thẻ Vikki One Connect.</t>
  </si>
  <si>
    <t>TTT phối hợp với Mastercard để triển khai giải pháp cổng thanh toán ecom MPGS.
Đồng hành với Mastercard để triển khai giải pháp thanh toán chi trả chính sách BHXH cho người dân, giúp người dân thanh toán dịch vụ công thông qua VNEID và thanh toán phí giao thông, bệnh viện.
20/8: Vikki Bank, Gotrust và Mastercard đã họp triển khai, liên quan đến cổng thanh toán tạm thời vẫn dùng của GPay qua cổng ecom của HDbank
27/8: Vikki Bank, GoTrust và Mastercard đang phối hợp thiết kế thẻ, trạm, và tích hợp tính năng mở thẻ online, mở tài khoản online.
4/9: Thống nhất thiết kế mẫu thẻ, chuyển app cập nhật mẫu thẻ lên app, đặt hàng app tích hợp SDK.
4/9: Lễ kí kết kế hoạch mở rộng trạm công dân số tại TPHCM.</t>
  </si>
  <si>
    <t>DIR-923E7CBF765A</t>
  </si>
  <si>
    <t>9</t>
  </si>
  <si>
    <t>Triển khai thẻ Vikki One Connect cho khách hàng tiểu thương gắn với giải pháp hỗ trợ khai báo thuế tự động thông qua kết nối API với MISA và các Cục thuế. Ứng dụng AI Agent để phân loại chi phí đầu vào nhằm tối ưu hiệu quả kinh doanh cho tiểu thương.</t>
  </si>
  <si>
    <t>Nội dung này hiện chưa tìm được hướng triển khai. Cần book lịch Ban Điều Hành để hướng dẫn thực hiện</t>
  </si>
  <si>
    <t>DIR-10224BA583FE</t>
  </si>
  <si>
    <t>10</t>
  </si>
  <si>
    <t>Áp dụng cơ chế mở tài khoản và cấp thẻ Vikki One Connect tức thì cho khách hàng nhận kiều hối; phê duyệt hạn mức tín dụng dựa trên lịch sử dòng tiền nhận kiều hối. Xây dựng sản phẩm đầu tư/tiết kiệm đặc thù để giữ chân dòng vốn kiều hối tại ngân hàng.</t>
  </si>
  <si>
    <t>Về chính sách, đã có chính sách cấp hạn mức tín dụng dành cho KH nhận kiều hối qua DAMTC.
TTT đã phân tích dữ liệu KH nhận kiều hối.
TTT đã xây dựng bộ tiêu chí phê duyệt hạn mức thẻ tín dụng tự động cho KH nhận kiều hối, đã thống nhất ý kiến góp ý của QTRR, PC, KTD theo tờ trình số 26/TTr-NHBL-TTT. TTT dự kiến trình hội đồng phê duyệt thẻ từ 25/8/2026.</t>
  </si>
  <si>
    <t>DIR-8D3140BD48EF</t>
  </si>
  <si>
    <t>11</t>
  </si>
  <si>
    <t>Rà soát năng lực PAIC (thuộc Petechim) để triển khai các dự án kinh doanh trong ngành dầu khí; Xây dựng giải pháp thanh toán tổng thể (gồm hệ thống thẻ) cho hệ thống trạm xăng; đưa giải pháp công nghệ cho ngành dầu khí vào một chuẩn mực chuyên nghiệp để tiếp cận trực tiếp các cấp lãnh đạo của tập đoàn đối tác.</t>
  </si>
  <si>
    <t>'TTT thực hiện chỉ đạo như sau:
- Đối với Người dùng cuối: tương tự sản phẩm Thẻ Petrolimex 4in1 của HDBank
- Cấp thẻ doanh nghiệp cho Đại lý của Petrolimex
Về giải pháp thanh toán: chuyển Galaxy Holding nghiên cứu, thực hiện theo chỉ đạo của Giám đốc cấp cao NHBL</t>
  </si>
  <si>
    <t>DIR-4EB75B83995D</t>
  </si>
  <si>
    <t>12</t>
  </si>
  <si>
    <t>Xác định lại các quy tắc chấm điểm tín dụng (Rule Scoring) nhằm tối ưu hóa quy trình và quản trị rủi ro để tiếp tục phát triển dòng thẻ Vikki Go+, như: ưu tiên theo địa bàn cư trú, lọc theo nghề nghiệp và trường học, cảnh giác rủi ro khách hàng tập trung theo địa bàn tại một thời điểm, thiết lập cơ chế blacklist,…</t>
  </si>
  <si>
    <t>Trước ngày 30/8/2026</t>
  </si>
  <si>
    <t>TTT dự thảo điều chỉnh tiêu chí giới hạn cấp tín dụng theo khu vực/địa bàn, thu nhập, nghề nghiệp. TTT sẽ trình điều chỉnh trước 15/09/2026.
Đã kick-off điều chỉnh hành trình onboard thẻ của KH trên app, điều chỉnh kiểm tra CIC bản tin S11A.</t>
  </si>
  <si>
    <t>DIR-9DCB6DF45F8A</t>
  </si>
  <si>
    <t>13</t>
  </si>
  <si>
    <t>Hoàn thiện, đóng gói sản phẩm và xây dựng bộ tài liệu bán hàng (Sales Kit) chính thức cho Thẻ Vikki One Connect. Thực hiện demo trực tiếp chương trình ra mắt sản phẩm trong nội bộ kỳ họp giao ban gần nhất. Thiết lập chế độ báo cáo định kỳ hàng tuần về tiến độ và kết quả triển khai.</t>
  </si>
  <si>
    <t>Trước 23/8/2026</t>
  </si>
  <si>
    <t>Bộ tài liệu bán hàng đã hoàn thiện, kế hoạch rollout đã sẵn sàng để trình phê duyệt chính thức triển khai Thẻ VikkiONE Connect ra thị trường. Ngày 15/8, 22/8 đã trình bày với Madam, đang chỉnh lại Playbook theo góp ý của Madam.
TTT và Data đã triển khai dashboard báo cáo cho Thẻ VikkiONE connect theo từng đối tác và dữ liệu cập nhật hằng ngày.</t>
  </si>
  <si>
    <t>DIR-2161039748E7</t>
  </si>
  <si>
    <t>14</t>
  </si>
  <si>
    <t>Đẩy nhanh tiến độ triển khai chương trình Thẻ sinh viên tích hợp công nghệ Vikki One Connect, hoàn thành gấp rút trước khi bước vào năm học mới. Làm việc trực tiếp với Mastercard để đề xuất tài trợ kinh phí phôi thẻ; hoàn thiện xây dựng cổng kết nối (API) phục vụ tệp khách hàng hơn 2 triệu sinh viên. Tận dụng tối đa sự hỗ trợ từ Bộ Giáo dục và Đào tạo để các trường Đại học/Cao đẳng mở cổng đăng ký, đồng thời phối hợp chặt chẽ với C06 để đồng hành cùng phong trào chuyển đổi số quốc gia</t>
  </si>
  <si>
    <t>Vikki Bank đã ký kết hợp đồng phát hành thẻ VikkiONE Connect với Trường Đại học Kinh tế Tài chính TPHCM (UEF).
Từ 10/8 đến 25/8, TTT, PTKD cùng CNQ3 đặt quầy mở tài khoản và phát hành Thẻ VikkiONE Connect cho Sinh viên năm 1 trường UEF TPHCM. Đã hoàn thành giao thẻ vật lý cho UEF khoảng 2.500 thẻ.</t>
  </si>
  <si>
    <t>DIR-AF7C23F06EE5</t>
  </si>
  <si>
    <t>15</t>
  </si>
  <si>
    <t>Nâng hạn mức tín dụng tự động lên tối thiểu 3 triệu đồng và loại bỏ quy tắc tự động khóa thẻ khi giao dịch vượt 50% hạn mức khả dụng dành riêng cho cán bộ nhân viên.</t>
  </si>
  <si>
    <t>Trước 14/8/2026</t>
  </si>
  <si>
    <t>TTT đang dự thảo trình Hội đồng tín dụng thẻ bộ tiêu chí cho phê duyệt hạn mức tự động 3 triệu đồng cho CBNV của đối tác. Đã gửi PC, QTRR, KTD góp ý 07/9/2026, dự kiến trình ký 14/9.
Đã triển khai cài đặt rule giám sát giao dịch phù hợp, hạn chế tình trạng khóa thẻ.</t>
  </si>
  <si>
    <t>DIR-E95AC3FB82EE</t>
  </si>
  <si>
    <t>16</t>
  </si>
  <si>
    <t>Triển khai chương trình Tòa nhà thông minh tại văn phòng mới ở Saigon Marina IFC; tích hợp hệ thống camera thông minh kiểm soát ra vào. Tích hợp cơ chế thanh toán, thấu chi và chi trả lương cho CBNV qua thẻ Vikki One Connect</t>
  </si>
  <si>
    <t>Trước 30/9/2026</t>
  </si>
  <si>
    <t>Hiện tại ở Marina thiết kế dây mạng và nguồn chờ để lắp đặt thiết bị kiểm soát ra vào, đối tác của XDCB sẽ thực hiện.
Tích hợp cơ chế thanh toán, thấu chi và chi trả lương cho CBNV qua thẻ Vikki One Connect: TTT nhận chỉ đạo. PTKD Đối tác liên kết triển khai cho các công ty/doanh nghiệp làm việc tại văn phòng Marina</t>
  </si>
  <si>
    <t>DIR-8BEBB9A725F2</t>
  </si>
  <si>
    <t>17</t>
  </si>
  <si>
    <t>Về phần mềm quản lý công việc:
Giao Ông Bùi Minh Hải – Giám đốc Ngân hàng Bán lẻ phối hợp cùng Ông Võ Tấn Bảo Quang – Phó Tổng Giám đốc khẩn trương triển khai chức năng quản lý công việc trên nền tảng Viva Engage, song song đánh giá tiến độ trên V-Office nhằm hỗ trợ Ban Lãnh đạo trong công tác điều hành, theo dõi và giám sát tiến độ thực hiện của các Đơn vị</t>
  </si>
  <si>
    <t>Kỳ họp ngày 18/5/2026</t>
  </si>
  <si>
    <t>BDA phối hợp VTS lên MasterPlan thực hiện công việc theo công văn chỉ đạo TGĐ. Tiếp tục phối hợp VTS tinh chỉnh theo yêu cầu nghiệp vụ.
Hoàn thành tổ chức đào tạo tại Công ty Kiều Hối
Đẩy dữ liệu bảng tỷ giá Portal --&gt; VOffice (100%): hoàn tất đẩy dữ liệu từ đầu năm 2026
Triển khai tạm khóa tính năng upload trên Portal cũ để điều hướng người dungf sang Voffice: Đang soạn thảo thông báo và ban hành hướng dẫn.
Ngày 14/08/2026, ngưng chức năng upload văn bản lên portal cũ.
Ngày 17/08, thảo luận phương án thúc đẩy tự động hóa văn bản đến trên VOffice. Đang soạn thảo tờ trình về những phương án phù hợp.
Ngày 19/08, trình ký thông báo ngưng chức năng upload văn bản lên portal cũ để chuyển sang hệ thống mới.
Ngày 20/08, thảo luận ý kiến về những vấn đề về việc ban hành và công khai văn bản trên hệ thống V-Office của ngân hàng.
Ngày 24/08, tập trung thảo luận vấn đề về các Module văn bản trên VOffice.
Ngày 25/08, kỹ thuật VTS và FinOS thảo luận để triển khai tích hợp chữ ký số FinOS vào VOffice.
Ngày 07/09, thảo luận, kiểm thử và góp ý để hoàn thiện tính năng văn bản đi của VOffice.
Thảo luận với các bên để hoàn thành biên bản xác nhận hoàn thành công việc của VTS.</t>
  </si>
  <si>
    <t>DIR-FA5A518CFE06</t>
  </si>
  <si>
    <t>18</t>
  </si>
  <si>
    <t>Về việc thành lập nhóm quản lý dự án công nghệ thông tin (PMO)
Giao Ông Bùi Minh Hải – Giám đốc Ngân hàng bán lẻ nghiên cứu, đề xuất mô hình Quản lý dự án công nghệ thông tin (PMO) nhằm thực hiện chức năng điều phối tập trung các chương trình, dự án trọng điểm của Ngân hàng; bảo đảm công tác quản lý tiến độ, điều phối nguồn lực, xác định thứ tự ưu tiên triển khai và tăng cường hiệu quả phối hợp giữa các Khối/Đơn vị trong quá trình thực hiện… trình Tổng Giám đốc xem xét</t>
  </si>
  <si>
    <t>Kỳ họp ngày 01/6/2026</t>
  </si>
  <si>
    <t>TTCN nhận chỉ đạo từ NHBL từ ngày 02/7/2026 và đang thực hiện tìm hiểu mô hình PMO ở một số ngân hàng.</t>
  </si>
  <si>
    <t>DIR-2431CBCDD1CE</t>
  </si>
  <si>
    <t>19</t>
  </si>
  <si>
    <t>Phối hợp với VNPT, Finx sớm xử lý triệt để lỗ hổng xác thực eKYC liên quan đến giả mạo hình ảnh.</t>
  </si>
  <si>
    <t>Kỳ họp ngày 06/6/2026</t>
  </si>
  <si>
    <t>Trong tháng 6/2026</t>
  </si>
  <si>
    <t>- Ngày 31/07/2026 đã cập nhật HyperVerge SDK lên phiên bản 2.11.0 và nâng cấp hạ tầng Sentry lên Version 8 nhằm hỗ trợ đầy đủ tính năng Deepfake Safe, đồng thời tích hợp các bản vá và cải tiến mới nhất từ HyperVerge.
Ngày 07/08/2026, cập nhật tính năng bảo mật trên HyperVerge SDK lên phiên bản 2.12.1 sdk hpv v2.12.1) cho ứng dụng Vikki.
- Dự kiến ngày 04/09/2026 FinX phối hợp với HyperVerge cập nhật tính năng bảo mật trên HyperVerge SDK lên phiên bản 3.2.0 sdk hpv v3.2.0) cho ứng dụng Vikk.</t>
  </si>
  <si>
    <t>DIR-F8EA4A20027F</t>
  </si>
  <si>
    <t>20</t>
  </si>
  <si>
    <t>Xây dựng giải pháp kỹ thuật, quy trình sớm để ngăn chặn việc tội phạm dùng công nghệ cao (Deepfake/AI) tấn công, hack vào hệ thống nhằm chiếm đoạt tài sản của khách hàng.</t>
  </si>
  <si>
    <t>Kỳ họp ngày 13/6/2026</t>
  </si>
  <si>
    <t>Trước ngày 30/6/2026</t>
  </si>
  <si>
    <t>Đến ngày 22/07/2026 FinX đang phối hợp với HyperVerge sửa lỗi (fix bug) và đánh giá các tính năng bảo mật cho ứng dụng Vikki và chuẩn bị cập nhật lên phiên bản bảo mật trên SDK phiên bản v2.11.0 (sdk hpv v2.11.0 ) cho ứng dụng Vikk dự kiến dự kiến ngày 31/07/2026 hoàn tất.
- Ngày 31/07/2026 đã cập nhật HyperVerge SDK lên phiên bản 2.11.0 và nâng cấp hạ tầng Sentry lên Version 8 nhằm hỗ trợ đầy đủ tính năng Deepfake Safe, đồng thời tích hợp các bản vá và cải tiến mới nhất từ HyperVerge.
Ngày 07/08/2026, cập nhật tính năng bảo mật trên HyperVerge SDK lên phiên bản 2.12.1 sdk hpv v2.12.1) cho ứng dụng Vikki.
- Dự kiến ngày 04/09/2026 FinX phối hợp với HyperVerge cập nhật tính năng bảo mật trên HyperVerge SDK lên phiên bản 3.2.0 sdk hpv v3.2.0) cho ứng dụng Vikk.</t>
  </si>
  <si>
    <t>DIR-04BCDB0D66CD</t>
  </si>
  <si>
    <t>21</t>
  </si>
  <si>
    <t>3. Về chuyển đổi số và chuẩn hóa hệ thống văn bản:
Giao Ông Bùi Minh Hải – Giám đốc Ngân hàng Bán lẻ phối hợp cùng Ông Võ Tấn Bảo Quang - Phó Tổng Giám đốc rà soát và đề xuất kế hoạch chuyển đổi số, trong đó lưu ý một số mục tiêu chính:
 Ký số toàn diện: Đẩy mạnh triển khai ký số nội bộ và triển khai ký số khách hàng.
 Tự động hóa nhập liệu: Rà soát, sửa đổi các mẫu biểu theo hướng điền thông tin tự động, tích hợp đồng bộ với các hệ thống công nghệ.</t>
  </si>
  <si>
    <t>Kỳ họp ngày 22/6/2026</t>
  </si>
  <si>
    <t>TTCN đã thực hiện tờ trình tích hợp chữ ký số FPT trên phần mềm VOfficce.
Tờ trình đã được TGĐ ký ngày 21/07/2026 và TTCN đã chuyển BP Mua sắm thực hiện thủ tục mua sắm theo quy định Vikki Bank.
Ngày 27/08, vẫn đang trong quá trình mua sắm</t>
  </si>
  <si>
    <t>DIR-C5400DDD38CE</t>
  </si>
  <si>
    <t>22</t>
  </si>
  <si>
    <t>Yêu cầu lập kế hoạch, đề xuất các dự án đầu tư công nghệ chi tiết cùng với hệ thống Core Banking mới trình Ban lãnh đạo để triển khai đồng bộ trong năm nay. Tuyệt đối không chấp nhận tình trạng đầu tư chậm trễ hoặc kém hiệu quả.</t>
  </si>
  <si>
    <t>Kỳ họp ngày 27/6/2026</t>
  </si>
  <si>
    <t>Trước ngày 15/7/2026</t>
  </si>
  <si>
    <t>TTCN đang đánh giá phối hợp nghiệp vụ soạn thảo tờ trình triển khai các dự án: AMLOCK, Front Arena, App KHDN, Internet Banking KHCN &amp; KHDN, Payment Hub)
=&gt; Tạm dừng để ưu tiên nguồn lực triển khai dự án Core T24 theo chỉ đạo của BLĐ NHBL</t>
  </si>
  <si>
    <t>DIR-22687567AC53</t>
  </si>
  <si>
    <t>23</t>
  </si>
  <si>
    <t>Các chương trình mua sắm công nghệ, bao gồm Front Arena, phải được xử lý tập trung thông qua Ban Chỉ đạo, bảo đảm đồng bộ với T24 và kiến trúc công nghệ tổng thể.</t>
  </si>
  <si>
    <t>Kỳ họp ngày 11/7/2026</t>
  </si>
  <si>
    <t>TTCN và Khối Nghiệp Vụ KDTT đã hoàn thành tờ trình thành lập ban dự án. TTCN đã form team phân công --&gt; Chờ TT được phê duyệt tiến hành triển khai
--&gt; Tờ trình nghiệp vụ đã gửi cho TMO hiện tại TTCN và BP.NV đều không có thông tin nào từ TMO.</t>
  </si>
  <si>
    <t>DIR-14C8A32FEC53</t>
  </si>
  <si>
    <t>24</t>
  </si>
  <si>
    <t>Hoàn thiện công tác mua bản quyền sử dụng các phần mềm theo quy định.</t>
  </si>
  <si>
    <t>Trước ngày 31/7/2026</t>
  </si>
  <si>
    <t>TTCN đã trình Chủ trương trang bị bản quyền hệ điều hành Microsoft Windows 11 Pro cho máy tính tại Vikki Bank tại tờ trình số 24/2026/TTr-TTCN đã được BLĐ phê duyệt. Hiện tại BPMS đang thực hiện thủ tục mua sắm, cụ thể:
- Ngày 22/07/2026, BPMS thông báo nhận và mở hồ sơ của đối tác, TTCN sẽ nhận hồ sơ về để đánh giá kỹ thuật theo yêu cầu của BPMS.
- Ngày 29/07/2026, TTCN đã hoàn thành đánh giá kỹ thuật và đã gửi báo cáo đánh giá cho BPMS. BPMS sẽ thực hiện các thủ tục tiếp theo.
- BPMS đang trình BLĐ và chưa thông tin lại kết quả phê duyệt cho TTCN.</t>
  </si>
  <si>
    <t>DIR-0742B9286D3C</t>
  </si>
  <si>
    <t>25</t>
  </si>
  <si>
    <t>Liệt kê các tính năng tại quầy từ Core TM và các tiện ích mà App Vikki chưa có so với đối thủ, báo cáo ban điều hành, xác định các hạng mục cần ưu tiên xây dựng/ outsource, không để lý do tập trung Core làm đình trệ các kết nối trọng yếu. Đặc biệt đưa việc kết nối Etax vào danh mục ưu tiên xử lý ngay.</t>
  </si>
  <si>
    <t>Kỳ họp ngày 25/7/2026</t>
  </si>
  <si>
    <t>Trước ngày 29/7/2026</t>
  </si>
  <si>
    <t>TTCN đang phối hợp FINX thực hiện rà soát, liệt kê các tính năng theo chỉ đạo. Dự kiến hoàn thành trong tháng 08/2026</t>
  </si>
  <si>
    <t>DIR-E7167446A268</t>
  </si>
  <si>
    <t>26</t>
  </si>
  <si>
    <t>Tổ chức kiểm kê toàn diện hệ thống phần mềm, phần cứng nhằm dọn dẹp và loại bỏ các hệ thống không sử dụng trước khi phê duyệt kế hoạch mua sắm mới</t>
  </si>
  <si>
    <t>Trước 15/9/2026</t>
  </si>
  <si>
    <t>Trung tâm CN đã hoàn thành theo tiến độ</t>
  </si>
  <si>
    <t>DIR-F38BDA120091</t>
  </si>
  <si>
    <t>27.0</t>
  </si>
  <si>
    <t>Triển khai dự án Trạm công dân số, Galaxy ID (thẻ Vikki One Conect), kết hợp các Hub giáo dục, Hub Y tế, Hub Mobility.</t>
  </si>
  <si>
    <t>Kỳ họp ngày 05/9/2026</t>
  </si>
  <si>
    <t>Tháng 9/2026</t>
  </si>
  <si>
    <t>GPay chủ trì việc kết nối thanh toán.
TTT đã hoàn thành thiết kế thẻ Ecitizen. Đang thực hiện gen QR dự kiến ngày 20/9 hoàn thành để cư dân trải nghiệm trạm CDS mở thẻ theo nhu cầu.
Thực hiện tích hợp SDK app Vikki với app Công dân số và MediPay.</t>
  </si>
  <si>
    <t>DIR-90BB49C73047</t>
  </si>
  <si>
    <t>28.0</t>
  </si>
  <si>
    <t>Chi trả kiều hối tích hợp mở tài khoản: mở sẵn tài khoản đa tiền tệ cho khách hàng khi nhận tiền kiều hối. Khi tiếp cận khách hàng, nhân viên thực hiện chụp ảnh/chữ ký để KYC đầy đủ và kích hoạt tài khoản ngay nhằm tối ưu hóa nguồn CASA.</t>
  </si>
  <si>
    <t>NHBL (Anh Hải) đang phối hợp với FinX, DAM thực hiện</t>
  </si>
  <si>
    <t>DIR-58D07A73F9F7</t>
  </si>
  <si>
    <t>29.0</t>
  </si>
  <si>
    <t>Hoàn thiện tính năng công nghệ Kiều hối và các dự án công nghệ hiện hữu:
Tiếp tục triển khai thử nghiệm, hoàn thiện tính năng mở tài khoản ngoại tệ nhận kiều hối trên hệ thống hiện tại.
Đối với các hạng mục công nghệ phục vụ HĐKD đang hoàn thiện, tiếp tục triển khai đưa vào vận hành, không chờ Core T24. Lập phương án tích hợp, chuyển đổi đồng bộ sau khi hệ thống Core T24 sẵn sàng.</t>
  </si>
  <si>
    <t>Kỳ họp ngày 28/8/2026</t>
  </si>
  <si>
    <t>Trước ngày 30/9/2026</t>
  </si>
  <si>
    <t>TTCN phối hợp thực hiện khi có yêu cầu từ các đơn vị nghiệp vụ</t>
  </si>
  <si>
    <t>x</t>
  </si>
  <si>
    <t>DIR-EF8A36A55E23</t>
  </si>
  <si>
    <t>30.0</t>
  </si>
  <si>
    <t>Phân công Trung tâm công nghệ, phòng Data chịu trách nhiệm xây dựng, quản lý dữ liệu tập trung và cung ứng số liệu kịp thời, chính xác cho các đơn vị chức năng theo yêu cầu.</t>
  </si>
  <si>
    <t>TTCN phối hợp cung cấp dữ liệu khi có yêu cầu từ Phòng Data KPI</t>
  </si>
  <si>
    <t>DIR-BD8DFCDF38FF</t>
  </si>
  <si>
    <t>CHỈ ĐẠO THEO DÕI TRONG NĂM 2026</t>
  </si>
  <si>
    <t>Xây dựng quy trình, kịch bản ra mắt sản phẩm nói chung và thẻ Vikki One Connect nói riêng: sản xuất/ thiết kế nội dung, công cụ, kênh truyền thông, thử nghiệm nội bộ, đào tạo lãnh đạo, nhân sự triển khai, kế hoạch marketing với các chỉ số KPI cụ thể, sổ tay hướng dẫn, kịch bản bán hàng,…</t>
  </si>
  <si>
    <t>BDA đã xây dựng sản phẩm, công cụ bán hàng, saleskit, kịch bản bán hàng.
Đã đào tạo ngày 3/4/2026 tại GIH cho CBNV toàn hàng.
Kế hoạch truyền thông: Marketing trình kế hoạch triển khai cụ thể, dự kiến 08/08/2026</t>
  </si>
  <si>
    <t>DIR-226B02ECB452</t>
  </si>
  <si>
    <t>TTT:
‘-Phát hành thẻ vạn năng trong một, triển khai trước cho các tổ chức trong hệ thống Hiệp Hội Trung tâm tài chính quốc tế Việt Nam tại Thành phố Đà Nẵng, sau đó là các đối tượng bác sĩ, trường đại học, nắm bắt ngay chương trình đi cùng thẻ nhân viên, thẻ giao thông công chính
-Giao Ban dự án phát triển chiến lược kinh doanh thẻ do chị Diệu Thảo – Giám đốc cấp cao Trung tâm Công nghệ và Trung tâm thẻ làm trưởng Ban khẩn trương hoàn thiện và trình Ban Điều hành cùng góp ý xây dựng hoàn thiện và thông qua trong tập thể, làm nền tảng phát triển mảng kinh doanh thẻ mạnh mẽ trong năm 2026</t>
  </si>
  <si>
    <t>Kỳ họp ngày 10/01/2026
Kỳ họp ngày 17/01/2026</t>
  </si>
  <si>
    <t>- Từ 10/2 và 13/2, đã triển khai thí điểm phát hành Thẻ Vạn năng VikkiONE Connect cho CBNV Vikki Bank.
- Ngày 14/3: đã mở rộng triển khai toàn bộ CBNV HDBank. TTT đang thúc đẩy CBNV HDBank đăng ký thẻ ảo. Đến 25/6/2026 đạt 14.549 thẻ.
- Đã giao thẻ vật lý cho CBNV Vikki Bank.
- Đã triển khai Chương trình ưu đãi dành cho chủ thẻ VikkiONE Connect
- Làm việc với SkyJoy để thống nhất quy trình đối soát va thanh toán mua điểm SkyJoy cho KH.
- Hoàn thành tài liệu bán hàng, saleskit, video giới thiệu về thẻ, tài liệu đào tạo nội bộ. Tổ chức đào tạo tại GIH ngày 03/04/2026
- Đã ban hành quy định sản phẩm và các biểu mẫu, hợp đồng liên quan. Sau khi thuận duyệt sẽ thực hiện:
+ Ban hành quyết định triển khai sản phẩm rộng rãi
+ Ban hành Thông báo ưu đãi thẻ VikkiONE Connect.
- Triển khai Thẻ VikkiONE Connect Phiên bản Đại hội cổ đông HDB 2026, Thẻ Global CEO cho BK Trip, Thẻ Satra, Thẻ VietnamTraveller, Cty Kiều hối Đông Á, Trường Victoria, Trường Đại học Hòa Bình, UEF, Hutech.
29/7/2026: Marketing &amp; PR đã hoàn thành dự thảo kế hoạch Marketing, chi phí Marekting đã được duyệt. BDA đang xin lịch trình bày đến Chủ sở hữu để phê duyệt rollout sản phẩm.
10/8 - 25/8: TTT, PTKD, CNQ3 phối hợp đặt quầy để mở tài khoản, mở thẻ VikkiONE Connect cho Sinh viên năm 1 Trường UEF. Đã hoàn thành phát hành thẻ vật lý và giao cho trường.</t>
  </si>
  <si>
    <t>DIR-B9E6C4A29CF6</t>
  </si>
  <si>
    <t>Phát hành 1 triệu thẻ trong năm 2026
Chỉ tiêu:
- 1.000.000 thẻ phát hành
- Tỷ lệ active ≥ 60%
- CASA bình quân ≥ 15 triệu VNĐ/thẻ
Hành động:
- Ra mắt thẻ Vikki thế hệ mới.
- Bán chéo qua chi nhánh, kênh digital, payroll và cộng đồng.
- Áp dụng cơ chế thưởng mạnh theo số thẻ active.
- Tích hợp loyalty trong hệ sinh thái.
Định hướng:
Thẻ là cửa ngõ gia tăng CASA và củng cố sự gắn kết khách hàng</t>
  </si>
  <si>
    <t>Kỳ họp ngày 28/02/2026</t>
  </si>
  <si>
    <t>TTT có kế hoạch kinh doanh Thẻ tín dụng năm 2026, trong đó cụ thể:
1. Về sản phẩm dịch vụ: triển khai SP VikkiONE Connect, Thẻ tín dụng JCB Utimate Slay Card; triển khai Goolge Pay, Apple Pay, Trả góp 0% thẻ tín dụng trên giao dịch và trên dư nợ; triển khai dịch vụ 3DS cho giao dịch thanh toán trực tuyến. TTT đã kickoff SPDV năm 2026 với CPV.
- Về ưu đãi thẻ: đã triển khai ưu đãi Metro, buýt; ăn uống, grab, BE, Shopee, CGV, Travelloka ...(với ngân sách gần 6 tỷ đồng); CKTM cho Google Pay - 3 CTKM ưu đãi dành cho KH đi xe buýt: đã triển khai từ 01/7 đến 31/12/2026
- Tặng điểm skyjoy cho KH sử dụng thẻ VikkiONE Connect: đã triển khai
- Triển khai chương trình Cashback lên đến 10% cho thẻ VikkiONE Connect: đã triển khai
=&gt; Tăng tiện ích, tăng ưu đãi cho thẻ hỗ trợ ĐVKD có lợi thế cạnh tranh khi phát triển thẻ; thúc đẩy khách hàng chi tiêu/giao dịch bằng thẻ
2. Về ra mắt thẻ Vikki Thế hệ mới: đã triển khai thẻ VikkiONE Connect
3. Về bán chéo Thẻ:
- TTT sẽ trình bộ tiêu chí cấp hạn mức thẻ tín dụng cho KH chi lương, KH tiền gửi để cài đặt hệ thống whitelist.
- Đã gửi yêu cầu cho App gửi tin nhắn OTT định kỳ cho KH để khuyến khích KH đăng ký thẻ.
- Push sale đến KH whitelist hạn mức thẻ tín dụng.
- Gửi danh sách KH chi lương, KH tiết kiệm theo từng ĐVKD để ĐVKD chăm sóc, chào bán.
- Đẩy mạnh truyền thông khai thác KH hiện hữu đang sử dụng app.</t>
  </si>
  <si>
    <t>DIR-FE718CCF504B</t>
  </si>
  <si>
    <t>TTT: Đối với kế hoạch hợp tác với khu vu lịch Sơn Tiên và Suối Tiên
- Nghiên cứu phát hành được thẻ thanh toán cho khách tham quan khu du lịch Suối Tiên/Sơn Tiên. Gợi ý phát hành thẻ prepaid, khách hàng đặt cọc 50 nghìn đồng cho chi phí phát hành thẻ, khi khách hàng trả thẻ thì nhận lại tiền cọc hoặc khách hàng giữ thẻ để tiếp tục sử dụng. Lưu ý, khi phát hành thẻ phải song song đầu tư hệ thống quét ở các điểm trò chơi. Trung tâm thẻ thảo luận thêm với Master Card để tham khảo thêm ý kiến từ tổ chức phát hành thẻ.
- Phát hành thẻ tín dụng cho CBNV Sơn Tiên và Suối tiên.</t>
  </si>
  <si>
    <t>Kỳ họp ngày 01/11/2025</t>
  </si>
  <si>
    <t>TTT dự kiến thực hiện triển khai trước máy nhả thẻ tại Suối Tiên. Đã trao đổi với đối tác về luông giao dịch của KH tại máy nhả thẻ với Với 02 hình thức như sau:
1/ KH thực hiện mua vé, chọn số tiền topup thẻ, thanh toán bằng thẻ QR.
2/ KH thực hiện mua vé, chọn thẻ số tiền topup thẻ, thanh toán bằng POS. Tờ trình mua 10 máy nhả thẻ đã được duyệt. Chờ chỉ đạo tổng thể từ TGĐ vì dựa trên hiệu quả hợp tác.
3/Lắp đặt ATM: đã hoàn thành ngày 03/02/2026.
4/ Đối với mở thẻ tín dụng dành cho CBNV, và chi lương (nếu có): NHBL và lãnh đạo khu vực đang đàm phán với đối tác.</t>
  </si>
  <si>
    <t>Thực hiện theo tiến độ chung của dự án Sơn Tiên và Suối Tiên</t>
  </si>
  <si>
    <t>DIR-2CF51A3487B1</t>
  </si>
  <si>
    <t>TTT:
Lưu ý chính sách khuyến mãi Thẻ: nghiên cứu và triển khai khuyến mãi tích điểm, vào phòng chờ sân bay không giới hạn số lần. Trung Tâm Thẻ triển khai trong tháng 12/2025.</t>
  </si>
  <si>
    <t>kỳ họp ngày 06/12/2025</t>
  </si>
  <si>
    <t>Tháng 12/2025</t>
  </si>
  <si>
    <t>- TTT triển khai dịch vụ Travel Pass dành cho Thẻ tín dụng doanh nghiệp VikkiPRO. Chủ thẻ được áp dụng mức giá ưu đãi dành cho hội viên là 32 USD/lượt sử dụng cho tất cả phòng chờ sân bay quốc tế. TTT ban hành thông báo số 312/2026/TB-TGĐ/2026/TB-TGĐ ngày 05/03/2026 v/v triển khai chương trình ưu đãi dành cho Thẻ Mastercard Bussiness World.
- Chính sách phòng chờ sân bay sẽ được triển khai cho Thẻ JCB Ultimate. JCB sẽ ký hợp đồng mua lượt phòng chờ với SkyJOY để ưu đãi đặc quyền cho chủ thẻ JCB Ultimate.
- 23/06/2026: JCB đã ký NDA với SkyJOY.
- Đang trình ký hợp đồng mua điểm SkyJOY với Galaxy Joy
- Triển khai nghiệm thu tích hợp tặng điểm thưởng qua app.
- Khởi động dự án Thẻ JCB SkyJoy</t>
  </si>
  <si>
    <t>Theo tiến độ triển khai thẻ JCB</t>
  </si>
  <si>
    <t>DIR-5A27C3788501</t>
  </si>
  <si>
    <t>TTT: Về hoàn tiền đối với khách hàng đăng ký thanh toán hóa đơn tự động: thống nhất áp dụng cho khách hàng mở mới.</t>
  </si>
  <si>
    <t>kỳ họp ngày 12/12/2025</t>
  </si>
  <si>
    <t>Về chương trình hoàn tiền cho KH mới thanh toán hóa đơn tự động: TTT sẽ triển khai trong Quý 3/2026 vì chức năng thanh toán hóa đơn từ nguồn tiền thẻ tín dụng dự kiến triển khai trong Quý 3/2026.
30/7: hoàn tất test đối soát giao dịch, 11/8/2026 đã nghiệm thu report và đối soát.
Đề xuất VNPAY tài trợ truyền thông và chương trình khuyến mãi cho KH.
Đã pilot ngày 24/8/2026, gomass ngày 14/9/2026 theo đề xuất của VNPAY</t>
  </si>
  <si>
    <t>DIR-9C0409192DB6</t>
  </si>
  <si>
    <t>TT Công nghệ: Khách hàng hưu trí (hơn 60.000 khách hàng): Màn hình App cho khách hàng lớn tuổi tự động xuất hiện khi khách hàng có năm sinh theo đối tượng do Vikki Bank chọn. Giao Trung tâm Công nghệ phối hợp FinX xây dựng và triển khai trước 30/10/2025.</t>
  </si>
  <si>
    <t>Kỳ họp ngày 20/9/2025</t>
  </si>
  <si>
    <t>Trước ngày 30/10/2025</t>
  </si>
  <si>
    <t>Xây dựng UI/UX dành riêng cho tệp KH lớn tuổi:
Giai đoạn 1: Background ==&gt; hoàn tất
1.1 Đã hoàn thành bộ sưu tập background cho KH trung niên. Enhance phần thay đổi background: cho chọn nhiều background hơn.
1.2 Upload backgroud: đã hoàn tất
Giai đoạn 2: điều chỉnh Size chữ
Giai đoạn 3: Phát triển new theme.
Team FinX đang review, dự án thuộc phạm vi nâng cấp UX/UI của O Street,</t>
  </si>
  <si>
    <t>Theo tiến độ FinX</t>
  </si>
  <si>
    <t>DIR-CE1DC6FF2F44</t>
  </si>
  <si>
    <t>TT Công nghệ: Hiển thị sổ tiết kiệm tại quầy trên App Vikki, giao Trung tâm công nghệ phối hợp FinX và các đơn vị nghiệp vụ liên quan, tham mưu cách thức hiển thị sổ tiết kiệm tại quầy trên App Vikki và trình Ban Lãnh đạo giải pháp triển khai phù hợp thời điểm chưa chuyển đổi core</t>
  </si>
  <si>
    <t>Kỳ họp ngày 26/9/2025</t>
  </si>
  <si>
    <t>TTCN và FinX đã hoàn tất BRD và phân tích nghiệp vụ. Tuy nhiên, hiện vấn đề này cũng thuộc phạm vi chuyển đổi hệ thống các core banking lên core T24, BDA đang đánh giá phương án khả thi để tránh chồng chéo nguồn lực thực hiện, dự kiến sẽ có phương án trong tháng 7/2026.
Nghiệp vụ VKB thống nhất tiếp tục đồng bộ thông tin tài khoản tiết kiệm lên app Vikki theo BRD đã mô tả, đang phối hợp FinX lên kế hoạch triển khai, dự kiến hoàn thành tích hợp kỹ thuật trong tháng 9/2026</t>
  </si>
  <si>
    <t>Quý 3/2026 (theo tiến độ FinX)</t>
  </si>
  <si>
    <t>DIR-F410FF3DF616</t>
  </si>
  <si>
    <t>Về vấn đề an ninh mạng theo Thông tư 77/2025/TT-NHNN:
Giao Trung tâm Công nghệ và các bộ phận liên quan có nghiên cứu giải pháp kỹ thuật để xử lý tình trạng giả mạo Face ID, đảm bảo tuân thủ nghiêm túc các quy định của Thông tư 77 về an ninh mạng</t>
  </si>
  <si>
    <t>Kỳ họp ngày 16/03/2026</t>
  </si>
  <si>
    <t>Theo các yêu cầu về an toàn thông tin của TTCN, FinX đã làm việc với VNPT đã chỉnh sửa ứng dụng Vikki.
Sau ngày FinX submit build lên store và được store duyệt và publish app vikki, TTCN phối hợp với GalaxyOne thực hiện đánh giá lại các lỗ hổng eKYC trên ứng dụng Vikki.
Đến ngày 22/07/2026 FinX đang phối hợp với HyperVerge sửa lỗi (fix bug) và đánh giá các tính năng bảo mật cho ứng dụng Vikki và chuẩn bị cập nhật lên phiên bản bảo mật trên SDK phiên bản v2.11.0 (sdk hpv v2.11.0 ) cho ứng dụng Vikk dự kiến ngày 31/07/2026 hoàn tất.
- Ngày 31/07/2026 đã cập nhật HyperVerge SDK lên phiên bản 2.11.0 và nâng cấp hạ tầng Sentry lên Version 8 nhằm hỗ trợ đầy đủ tính năng Deepfake Safe, đồng thời tích hợp các bản vá và cải tiến mới nhất từ HyperVerge.
Ngày 07/08/2026, cập nhật tính năng bảo mật trên HyperVerge SDK lên phiên bản 2.12.1 sdk hpv v2.12.1) cho ứng dụng Vikki.
- Dự kiến ngày 04/09/2026 FinX phối hợp với HyperVerge cập nhật tính năng bảo mật trên HyperVerge SDK lên phiên bản 3.2.0 sdk hpv v3.2.0) cho ứng dụng Vikk.</t>
  </si>
  <si>
    <t>Đang tiếp tục theo dõi thực hiện</t>
  </si>
  <si>
    <t>DIR-55BBDCD120A2</t>
  </si>
  <si>
    <t>TT Công nghệ: Kết nối với VETC để tài khoản Vikki Bank có trong danh mục tài khoản liên kết với ví điện tử. Giao Trung tâm Công nghệ triển khai</t>
  </si>
  <si>
    <t>Kỳ họp ngày 13/9/2025</t>
  </si>
  <si>
    <t>Sẽ triển khai thông qua Napas. Tuy nhiên, Napas đang nâng cấp nền tảng. Sau khi nâng cấp, VikkiBank sẽ là 01 trong Ngân hàng đầu tiên triển khai.</t>
  </si>
  <si>
    <t>Chờ Napas nâng cấp hệ thống</t>
  </si>
  <si>
    <t>DIR-C725AD11D5B7</t>
  </si>
  <si>
    <t>TT Công nghệ: Về việc di dời Trung tâm dữ liệu toàn hàng:
Giao Trung Tâm công nghệ tiếp tục thực hiện các thủ tục trình xin phép cơ quan chức năng di dời Trung Tâm dữ liệu VikkiBanks và hoàn thành di dời trong Quý 4/2025</t>
  </si>
  <si>
    <t>Kỳ họp ngày 03/10/2025</t>
  </si>
  <si>
    <t>Quý 4/2025</t>
  </si>
  <si>
    <t>Công ty chứng khoán VikkiBankS thông tin đang chờ văn bản chấp nhận của Sở Giao dịch chứng khoán (HNX) để triển khai di dời. Đến nay (10/9), Công ty chứng khoán chưa nhận được thông tin/ văn bản chấp thuận nên TTCN chưa thực hiện thủ tục di dời</t>
  </si>
  <si>
    <t>DIR-E19AA29BFE8C</t>
  </si>
  <si>
    <t>Các dự án chiến lược trọng điểm: Về PowerHome sẽ triển khai 27 tính năng trong năm 2026 theo chỉ đạo của Chủ sở hữu. Sau khi hoàn thành xây dựng các tính năng Ban Dự án sẽ lên kế hoạch tổ chức workshop triển khai tính năng PowerHome nhằm giới thiệu tổng quan, hướng dẫn sử dụng và hỗ trợ các đơn vị nắm rõ cách áp dụng PowerHome trong hoạt động kinh doanh và chăm sóc khách hàng, qua đó đảm bảo triển khai đồng bộ và hiệu quả trên toàn hệ thống.</t>
  </si>
  <si>
    <t>Kỳ họp ngày 29/12/2025</t>
  </si>
  <si>
    <t>Power Home đã triển khai hoàn tất và chương trình này kết nối với chương trình IHRP mới để sử dụng. Hiện tại Khối Nhân sự chưa sử dụng chương trình IHRP mới nên các tính năng này chưa được sử dụng. TTCN sẽ làm việc với Khối Nhân sự để tiếp tục triển khai và báo cáo.
Tạm dừng để tập trung nguồn lực triển khai các dự án phục vụ kinh doanh trọng điểm trong 06 tháng cuối năm 2026 + Dự án Core T24.</t>
  </si>
  <si>
    <t>DIR-1379B1913790</t>
  </si>
  <si>
    <t>TT Công nghệ: Về công nghệ thông tin năm 2026:Giao Trung tâm công nghệ hoàn thiện kế hoạch tổng thể công nghệ thông tin 2026 trình Ban Lãnh đạo xem xét. Trong đó, lưu ý nội dung sau:
- Về Hạ tầng công nghệ - IT Architecture: Đây là nội dung mang tính cấp bách cần nhanh nhóng triển khai. Do đó, Giao Trung tâm công nghệ nghiên cứu, mời chuyên giao công nghệ tư vấn, có kế hoạch tổng thể về việc xây dựng hệ thống hạ tầng, kiến trúc cho Vikki Bank và sắp xếp cuộc họp chuyên đề để trình bày cho Tổng Giám đốc xem xét.
- Về các hạng mục công nghệ thông tin: Trung tâm công nghệ thực hiện sắp xếp các hạng mục theo thứ tự ưu tiên và nguồn lực hiện hữu</t>
  </si>
  <si>
    <t>Kỳ họp ngày 16/01/2026</t>
  </si>
  <si>
    <t>Ngày 14/05/2026, GalaxyOne đã gửi báo các đánh giá, TTCN đang đánh giá từng hạng mục của GalaxyOne theo từng khuyến nghị.
+ Ngày 21/05/2026, GalaxyOne cùng TTCN trao đổi các nội dung khuyến nghị trong bản báo cáo.
+ Ngày 22/06/2026, GalaxyOne đã trình bày bản báo cáo đến ban lãnh đạo của Vikki Bank. Hạng mục này chuẩn bị thực hiện trong Quý 3, Quý 4.</t>
  </si>
  <si>
    <t>Theo tiến độ Ban dự án</t>
  </si>
  <si>
    <t>DIR-17ED309CD1BF</t>
  </si>
  <si>
    <t>Về quản lý nhiệm vụ trọng tâm
Giao Ông Võ Tấn Bảo Quang – Phó Tổng Giám đốc tham mưu Tổng Giám đốc đưa kế hoạch nhiệm vụ trọng tâm các Khối lên phần mềm quản lý công việc để hỗ trợ công tác điều hành, theo dõi tiến độ thực hiện của các Đơn vị. Trung tâm công nghệ và/ hoặc Phòng Data &amp; Quản lý hiệu quả phân công nhân sự hỗ trợ kỹ thuật IT, phần mềm
(Khối TCKH đề xuất chuyển chỉ đạo cho TTCN)</t>
  </si>
  <si>
    <t>Kỳ họp ngày 06/4/2026</t>
  </si>
  <si>
    <t>Sử dụng Planner để cập nhật và theo dõi công việc thực hiện theo chỉ đạo nhưng tờ trình mua License chưa được phê duyệt. TTCN đã có email báo cáo GĐ NHBL và chưa có thông tin chỉ đạo tiếp theo.</t>
  </si>
  <si>
    <t>DIR-79E7FEDEA8E9</t>
  </si>
  <si>
    <t>DAMC</t>
  </si>
  <si>
    <t>1. Về kế hoạch kinh doanh 2026 của DAMC
Giao DAMC rà soát, hoàn thiện Kế hoạch kinh doanh năm 2026 trên cơ sở phân tích hiệu quả hoạt động, chân dung khách hàng, tiềm năng thị trường và năng lực cạnh tranh; đồng thời đánh giá chi tiết hiệu quả từng cấu phần kinh doanh, bao gồm hoạt động chi trả, bán chéo sản phẩm dịch vụ và ứng dụng công nghệ nhằm nâng cao hiệu quả kinh doanh và tạo tiền đề cho giai đoạn phát triển 2026–2030.
Đồng thời, Giao Ngân hàng Bán lẻ phối hợp với DAMC nghiên cứu, đề xuất các giải pháp về công nghệ thông tin, sản phẩm, thị trường và cơ chế kinh doanh nhằm nâng cao năng lực cạnh tranh, mở rộng quy mô hoạt động và hoàn thành các mục tiêu kinh doanh đã đề ra.
DAMC và NHBL trao đổi, thống nhất chương trình hành động và kế hoạch kinh doanh 2026 để trình Tổng Giám đốc xem xét trước thứ 6, ngày 12/6/2026</t>
  </si>
  <si>
    <t>Kỳ họp ngày 08/6/2026</t>
  </si>
  <si>
    <t>- DAM đã làm việc với NHBL về nhu cầu nhằm nghiên cứu, đề xuất các giải pháp về công nghệ thông tin, sản phẩm, thị trường và cơ chế kinh doanh phù hợp.
- DAM đã hoàn tất Kế hoạch kinh doanh số 05/2026/KH-KHDA-KD vào ngày 3/8/2026, Giám đốc NHBL đã đồng ý nội dung kế hoạch.
- Hiện đang trình Phó Tổng GIám đốc Vikki Bank (Anh Thành) xem xét trước khi trình Tổng Giám đốc Vikki Bank phê duyệt.</t>
  </si>
  <si>
    <t>Phụ thuộc vào tiến độ phê duyệt Kế hoạch của Ban Tổng Giám đốc</t>
  </si>
  <si>
    <t>DIR-4125259EE527</t>
  </si>
  <si>
    <t>DAM sẽ phối hợp với NHBL để thực hiện theo chỉ đạo</t>
  </si>
  <si>
    <t>DIR-F72119B036EC</t>
  </si>
  <si>
    <t>Phát triển Kiều hối quốc tế
Cử nhân sự Kiều hối tham gia các đoàn công tác nước ngoài của Lãnh đạo; phối hợp ĐSQ/LSQ Việt Nam kết nối đối tác, cộng đồng kiều bào.
Tự động hóa toàn bộ quy trình chi trả kiều hối, giảm tối đa xử lý thủ công và rủi ro thất thoát.
Mục tiêu: hoàn thiện mạng lưới kết nối kiều hối quốc tế trong năm 2026.</t>
  </si>
  <si>
    <t>Kỳ họp ngày 22/8/2026</t>
  </si>
  <si>
    <t>Tháng
9-10/2026</t>
  </si>
  <si>
    <t>- Đoàn công tác nước ngoài: DAM cử ông Vũ Thành Trung – Tổng Giám đốc tham gia các đoàn công tác của Lãnh đạo, ưu tiên các thị trường có lượng kiều hối lớn về Việt Nam để tăng cường kết nối, tìm kiếm cơ hội hợp tác.
- Tự động hóa quy trình chi trả: DAM sẽ phối hợp các đơn vị liên quan triển khai các dự án theo từng nhóm nghiệp vụ, phù hợp định hướng của Ban Chuyên trách phát triển hệ sinh thái kiều hối HDFG.
- Phát triển mạng lưới kết nối kiều hối quốc tế: DAM đã ký NDA, họp trao đổi với đối tác và đang thu thập thông tin công ty mục tiêu tại Nhật để trình phương án sơ bộ.</t>
  </si>
  <si>
    <t>Phụ thuộc vào tiến độ thực hiện của từng hạng mục</t>
  </si>
  <si>
    <t>DIR-7C83B78E5755</t>
  </si>
  <si>
    <t>Về tính năng mở tài khoản ngoại tệ nhận kiều hối trên app: DAM phối hợp triển khai theo tiến độ của Vikki Bank.</t>
  </si>
  <si>
    <t>Theo tiến độ thực hiện của Vikki Bank</t>
  </si>
  <si>
    <t>DIR-C95D070E762B</t>
  </si>
  <si>
    <t>4. Thành lập Ban chuyên trách Kiều hối
Thống nhất thành lập Ban chuyên trách về Kiều hối để tối ưu hóa các mục tiêu kinh doanh, giải pháp công nghệ, quy trình vận hành và kết nối thông suốt giữa các bên liên quan; định hướng chuyển dịch chi trả kiều hối tại nhà sang chuyển khoản, giao dịch trên ứng dụng.</t>
  </si>
  <si>
    <t>HDBank và DAM đã hoàn tất dự thảo Tờ trình về việc thành lập Ban Chuyên trách Kiều hối.
HDBank và DAM đã thống nhất danh sách nhân sự tham gia; hiện đang chờ Vikki Bank thống nhất danh sách nhân sự để NHBL HDBank hoàn thiện tờ trình và trình Tổng Giám đốc HDBank – Vikki Bank xem xét, phê duyệt.</t>
  </si>
  <si>
    <t>Phụ thuộc vào tiến độ phê duyệt của Tổng Giám đốc HDBank – Vikki Bank</t>
  </si>
  <si>
    <t>DIR-81BD56096E2E</t>
  </si>
  <si>
    <t>DAM đang chờ NHBL Vikki Bank đề xuất giải pháp triển khai để phối hợp thực hiện.</t>
  </si>
  <si>
    <t>DIR-C3AFEB68E667</t>
  </si>
  <si>
    <t>Thiết lập phương án mở rộng chuỗi Vikkafe tích hợp dịch vụ kiều hối, bán vé máy bay và các dịch vụ ngân hàng số toàn cầu, nghiên cứu phương án thiết kế không gian dành riêng cho khách hàng theo đạo Hồi.</t>
  </si>
  <si>
    <t>Về mô hình Vikkafe tích hợp dịch vụ kiều hối:
+ DAM đã trao đổi với đối tác về mô hình các điểm Vikkafe trở thành đại lý chi trả kiều hối tại Nhật Bản, Úc và Pháp
+ Đối tác đã đồng ý về định hướng hợp tác và sẽ phối hợp thực hiện khi Vikkafe có kế hoạch triển khai, trên cơ sở các bên thống nhất điều kiện và thỏa thuận hợp tác.</t>
  </si>
  <si>
    <t>Theo tiến độ triển khai của Vikki Bank &amp; Vikkafe</t>
  </si>
  <si>
    <t>DIR-C50933C7A559</t>
  </si>
  <si>
    <t>Rà soát lại toàn bộ quy trình nghiệp vụ giao nhận và chi trả kiều hối trực tiếp tại nhà khách hàng, thiết lập các chốt kiểm soát chặt chẽ nhằm bảo đảm an toàn</t>
  </si>
  <si>
    <t>Trước ngày 11/9/2026</t>
  </si>
  <si>
    <t>DAM đã thực hiện rà soát toàn bộ quy trình nghiệp vụ theo chỉ đạo</t>
  </si>
  <si>
    <t>DIR-E38FE1F5AF1F</t>
  </si>
  <si>
    <t>K.NHAN SU</t>
  </si>
  <si>
    <t>1. Về việc xây dựng quy trình tuyển dụng chuyên nghiệp: với tiêu chuẩn đánh giá rõ ràng và tổ chức Hội đồng tuyển dụng phù hợp. Trình HĐTV thông qua. Cụ thể:
- Hoàn thiện quy trình tuyển dụng và bổ nhiệm tại Vikki Bank, bao gồm tiêu chuẩn ứng viên và phương thức đánh giá, kiểm tra năng lực;
- Đào tạo chuyên môn cho đội ngũ quản lý và nhân sự về kỹ năng phỏng vấn, đánh giá ứng viên
2. Về công tác tuyển dụng, đào tạo:
Giao Khối Nhân sự nhanh chóng triển khai chỉ đạo của HĐTV về JDs của các chức danh Ngân hàng Bán lẻ và xây dựng nhanh chương trình đào tạo chuyên môn cho đội ngũ quản lý về kỹ năng phỏng vấn và đánh giá ứng viên.
Trong quá trình chờ triển khai chương trình “đào tạo” liên quan kỹ năng phỏng vấn, Khối Nhân sự nhanh chóng xây dựng và chuẩn hóa bộ câu hỏi ứng viên cho từng chức danh cụ thể để làm ngân hàng câu hỏi và thang điểm tham khảo
3. Đối với Quy trình tuyển dụng chuyên nghiệp: Giao Khối Nhân sự tiếp tục rà soát, nhanh chóng hoàn thiện quy trình và trình cấp có thẩm quyền xem xét ban hành.</t>
  </si>
  <si>
    <t>Kỳ họp ngày 14/03/2026
Kỳ họp ngày 16/03/2026
Kỳ họp ngày 13/4/2026</t>
  </si>
  <si>
    <t>1. Về việc xây dựng quy trình tuyển dụng: đang điều chỉnh và cải tiến quy trình tuyển dụng cho phù hợp với thực tế với tiêu chuẩn đánh giá rõ ràng và tổ chức Hội đồng tuyển dụng phù hợp.
- Đã trình Phó TGĐ cẩm nang tuyển dụng và các biểu mẫu tuyển dụng, chờ xin ý kiến trình ban hành.
2. Về việc xây dựng và chuẩn hóa bộ câu hỏi ứng viên cho từng chức danh:
- Cẩm nang phỏng vấn đã hoàn thiện, đang xin ý kiến BLĐ.
- JD các chức danh thuộc Ngân hàng bán lẻ đã được ban hành (3753/2026/QĐ-TGĐ V.v Ban hành Mô tả công việc (JD) thuộc Ngân hàng bán lẻ)
3. Khối Nhân sự đang rà soát, hoàn thiện quy trình tuyển dụng.
- Đã gửi Phòng QLRR, Pháp chế và HCQT&amp;QLCL để góp ý</t>
  </si>
  <si>
    <t>Quý III/2026</t>
  </si>
  <si>
    <t>DIR-BD2DCF0DD34C</t>
  </si>
  <si>
    <t>Về việc trình ban hành Quy chế tổ chức và hoạt động; trong đó ưu tiên xây dựng, hoàn thiện chức năng, nhiệm vụ và bản mô tả công việc (JDs) đối với các chức danh thuộc Ngân hàng Bán lẻ.</t>
  </si>
  <si>
    <t>Kỳ họp ngày 09/01/2026
Kỳ họp ngày 14/03/2026</t>
  </si>
  <si>
    <t>- Quy chế tổ chức và hoạt động: Đã gửi Khối QTRR &amp; GSTT - đơn vị đồng soạn thảo để ký trình ngày 4/9/2026.
- JD Ngân hàng bán lẻ: Đã ban hành chính thức theo QĐ số 3753/2026/QĐ-TGĐ ngày 12/08/2026.</t>
  </si>
  <si>
    <t>DIR-49ACA02E071B</t>
  </si>
  <si>
    <t>1. Về kiến nghị của KV1 trong công tác tuyển dụng: Giao Khối nhân sự rà soát và xây dựng khung lương, thang lương phù hợp thị trường để phục vụ công tác tuyển dụng
2. 'Về chính sách lương: chị Châu – Giám đốc Nhân sự trinh thang bảng lương mới trong tuần 06-11/4/2026 (ưu tiên nâng lương giao dịch viên)
3. Xây dựng khung lương mới gắn liền tiêu chuẩn tuyển dụng, ưu tiên nâng thang lương cho Giao dịch viên và nhân viên Kinh doanh.
4. Thu nhập của lực lượng back office thấp, trong khi khối lượng công việc gia tăng, cần sớm hoàn thiện và trình áp dụng khung lương mới.</t>
  </si>
  <si>
    <t>Kỳ họp ngày 28/03/2026
Kỳ họp ngày 04/4/2026
Kỳ họp ngày 16/5/2026
Kỳ họp ngày 13/6/2026</t>
  </si>
  <si>
    <t>Trước ngày 26/6/2026</t>
  </si>
  <si>
    <t>- Hoàn thiện dự thảo Quy chế Thu nhập và đãi ngộ tại Vikki Bank sau khi tổng hợp góp ý của các Đơn vị nghiệp vụ.</t>
  </si>
  <si>
    <t>DIR-43DD2EA133A6</t>
  </si>
  <si>
    <t>Triển khai văn bản quy định luân chuyển nhân sự giữa Vikki Bank và HDBank, ưu tiên tiếp nhận giao dịch viên dày dạn kinh nghiệm nghiệp vụ sang Vikki Bank.</t>
  </si>
  <si>
    <t>Kỳ họp ngày 20/6/2026</t>
  </si>
  <si>
    <t>Bộ phận Nhân sự hai bên vẫn duy trì trao đổi qua email để tiếp tục rà soát nhu cầu, nguồn lực và phương án điều phối nhân sự. Quy trình và luồng thực hiện cụ thể đang phối hợp thực hiện.</t>
  </si>
  <si>
    <t>DIR-93D4FD4FC295</t>
  </si>
  <si>
    <t>1. Rà soát toàn bộ công tác nhân sự mảng định giá tài sản và báo cáo phương án kiện toàn cho Chủ tịch HĐTV
2. Chuyển giao 22 nhân sự thẩm định sang Galaxy; tổ chức phỏng vấn, đánh giá, áp dụng hệ thống lương thưởng đồng bộ theo chuẩn Galaxy; cung cấp thông tin cho người lao động.</t>
  </si>
  <si>
    <t>Kỳ họp ngày 27/6/2026
Kỳ họp ngày 11/7/2026</t>
  </si>
  <si>
    <t>Trước ngày 17/7/2026</t>
  </si>
  <si>
    <t>HR đang tiếp tục cố gắng hoàn tất việc tổng hợp nguyện vọng, nhu cầu bố trí của NLĐ Phòng Thẩm định giá và đề xuất phương án trong thời gian sớm nhất.</t>
  </si>
  <si>
    <t>DIR-939D3D79BF21</t>
  </si>
  <si>
    <t>Bám sát, đôn đốc Chủ sở hữu sớm phê duyệt thang bảng lương mới cho Vikki Bank.</t>
  </si>
  <si>
    <t>Đã hoàn thiện dự thảo, đã trình và chờ phê duyệt/chỉ đạo</t>
  </si>
  <si>
    <t>DIR-2751F9D2E1E8</t>
  </si>
  <si>
    <t>Xây dựng bộ FAQ và bảng ước tính thu nhập (gồm lương cứng và lương kinh doanh dựa trên năng lực) để đảm bảo minh bạch, đồng thời thống nhất với ứng viên ngay từ đầu chính sách ngân hàng có thể thay đổi theo từng thời kỳ.</t>
  </si>
  <si>
    <t>Trước ngày 11/8/2026</t>
  </si>
  <si>
    <t>Phòng Nhân sự nhận thông tin và đang nghiên cứu xây dựng dự thảo theo chỉ đạo</t>
  </si>
  <si>
    <t>DIR-16B73877F406</t>
  </si>
  <si>
    <t>Hoàn chỉnh khung lương theo hướng tinh gọn và ít bậc, có so sánh với các ngân hàng khác, tích hợp cơ chế thu nhập đột phá dựa trên hiệu quả bán chéo trong hệ sinh thái.</t>
  </si>
  <si>
    <t>Trước ngày 15/8/
2026</t>
  </si>
  <si>
    <t>DIR-95885622723D</t>
  </si>
  <si>
    <t>Sức khỏe và phúc lợi CBNV
Khám sức khỏe đầu vào tại các cơ sở y tế được chỉ định với nhân sự mới; khám định kỳ 1–2 lần/năm cho CBNV; xây dựng phương án bảo hiểm nhân thọ cho CBNV.</t>
  </si>
  <si>
    <t>Từ 01/9/2026</t>
  </si>
  <si>
    <t>- Về khám sức khỏe cho CBNV đã chuyển qua Khối QLKPP phụ trách.
- Về bảo hiểm nhân thọ cho CBNV: Phòng Nhân sự nhận thông tin và nghiên cứu xây dựng dự thảo theo chỉ đạo.</t>
  </si>
  <si>
    <t>Quý IV/2026</t>
  </si>
  <si>
    <t>DIR-AA0EA7CAF885</t>
  </si>
  <si>
    <t>Tuyển dụng nhân sự cho ĐVKD mới
Thống nhất tuyển dụng nhân sự dự phòng và nguồn trù bị cho ĐVKD chuẩn bị thành lập nhằm đảm bảo nguồn nhân lực sẵn sàng khi mạng lưới đi vào hoạt động.</t>
  </si>
  <si>
    <t>Phòng Nhân sự vẫn đang tuyển dụng nhân sự và dự phòng cho ĐVKD mới, cụ thể
- Đã tuyển dụng xong 11 Trưởng đơn vị PTML mới
- Đang trình tuyển dụng 8 Trưởng đơn vị PTML mới
- Dự kiến phỏng vấn thêm 8 ứng viên Trưởng đơn vị của 3 đơn vị PTML mới</t>
  </si>
  <si>
    <t>DIR-1B5C9A8F1951</t>
  </si>
  <si>
    <t>Triển khai chính sách chi trả phụ cấp cho nhân sự có bằng cấp chuyên môn thứ 2.</t>
  </si>
  <si>
    <t>DIR-0D4FCEF49E9F</t>
  </si>
  <si>
    <t>Trường hợp Axis tuyển dụng chậm, Vikki Bank chủ động tuyển dụng và ký hợp đồng trực tiếp với nhân sự PR&amp;MKT.</t>
  </si>
  <si>
    <t>Phòng Nhân sự triển khai phối hợp thực hiện theo chỉ đạo</t>
  </si>
  <si>
    <t>DIR-8EF1BB259D63</t>
  </si>
  <si>
    <t>Liên quan đến việc đề xuất chuyển nguồn lực từ HDBank sang Vikki Bank: Giao KNS rà soát, thống kê chi tiết các cán bộ đã hoàn thành chương trình đào tạo cán bộ nguồn tại HDBank; đánh giá năng lực ứng viên so với tiêu chí tuyển dụng, định biên còn thiếu tại Vikki Bank… và có báo cáo tổng thể để Tổng Giám đốc có cơ sở trình cấp thẩm quyền xem xét</t>
  </si>
  <si>
    <t>Kỳ họp ngày 07/02/2026
Kỳ họp ngày 23/03/2026</t>
  </si>
  <si>
    <t>Khối Nhân sự đang rà soát lại kết quả phỏng vấn, ý kiến An ninh nội bộ, Tờ trình tuyển dụng để hoàn tất nhu cầu thực tế và chuyển HR HDBank phối hợp thực hiện bổ sung nguồn lực.</t>
  </si>
  <si>
    <t>DIR-2348E4AF3E9B</t>
  </si>
  <si>
    <t>Phòng Nhân sự: Về chính sách điều chỉnh lương của Lãnh đạo
Tốc độ tăng lương còn thấp, phải rà soát và có điều chỉnh
- Giao Khối Nhân sự có báo cáo tổng thể về chính sách tăng lương cho Lãnh đạo ĐVKD và HO trình Ban lãnh đạo xem xét
- Về chỉ đạo điều chỉnh lương kinh doanh cho Giám đốc/Phó Giám đốc Đơn vị kinh doanh, Trưởng/Phó Phòng Hội sở trở lên: Giao Khối Nhân sự nhanh chóng hoàn thiện và trình lại Ủy ban Nhân sự trong tuần sau</t>
  </si>
  <si>
    <t>Kỳ hop ngày 02/8/2025
Kỳ họp ngày 23/8/2025
Kỳ họp ngày 03/10/2025
Kỳ họp ngày 15/11/2025</t>
  </si>
  <si>
    <t>- Phòng Nhân sự dự kiến trình các phương án như sau:
+ Trình chính sách chi lương năng suất gắn với KPIs CBNV theo hướng tạm ứng hàng tháng/quyết toán năm. (Đã hoàn thành dự thảo)
+ Kết hợp trình điều chỉnh lương CBNV các vị trí có mức lương thấp (so mặt bằng lương/so thị trường) sau khi khung lương mới được thông qua.</t>
  </si>
  <si>
    <t>DIR-6E69F38575D0</t>
  </si>
  <si>
    <t>K.QLKPP</t>
  </si>
  <si>
    <t>Về cơ chế gắn lương kinh doanh với chất lượng dịch vụ
Giao Ngân hàng Bán lẻ đầu mối phối hợp Khối QLKPP&amp;TN tham mưu Tổng Giám đốc ban hành cơ chế gắn lương kinh doanh với chất lượng dịch vụ trước 30/6/2026. Việc áp dụng chế tài liên quan liên quan đến đánh giá chất lượng dịch vụ &amp; 5S cần đảm bảo đúng người, đúng mức độ vi phạm và phù hợp với thực tế hoạt động của đơn vị. Lưu ý trong một số trường hợp đặc thù, giao Giám đốc Khu vực được quyền quyết định xem xét trước khi áp dụng chế tài</t>
  </si>
  <si>
    <t>Trước 30/6/2026</t>
  </si>
  <si>
    <t>Phòng QLKPP
Đã gửi email ngày 05/08/2026 cho Phòng Nhân sự, Phòng QLKPP để bổ sung các cơ chế chế tài vào nâng bậc, nâng lương, trừ vào xếp loại thi đua cuối năm.
Phòng QLKPP đã đề xuất các cơ chế chính về Phòng Nhân sự
Phòng QLKPP gửi email lần 2 ngày 26/8</t>
  </si>
  <si>
    <t>DIR-9A76B479F82B</t>
  </si>
  <si>
    <t>Về đề án chuyển đổi mạng lưới Vikki Bank thành hệ sinh thái tài chính và phong cách sống giai đoạn 2026-2035
Giao Khối QLKPP&amp;TN gửi dự thảo dự án chuyển đổi mạng lưới đến Ban Điều hành; Giám đốc/Phó Giám đốc Khối để nghiên cứu, góp ý và phản hồi chi tiết; đồng thời tổng hợp, hoàn thiện nội dung đề án và tổ chức cuộc họp chuyên đề báo cáo Ban Điều hành sau khi hoàn thiện. Hoàn thành trong tháng 7/2026.</t>
  </si>
  <si>
    <t>Tháng 7/2026</t>
  </si>
  <si>
    <t>Phòng QLKPP_Siêu thị Tài chính
- 24/7/2026: xin ý kiến chỉ đạo từ PTGD phụ trách để triển khai bước tiếp theo
- 29/7/2026: nhắc TCKH gửi mô phỏng 1 chi nhánh + 1 PGD về thu, chi và điểm hòa vốn. Nhắc các đầu mối SPDV về hoàn thiện các nội dung chưa có thông tin.
- 30/7/2026: phối hợp các bên liên quan khái toán chi phí cho toàn bộ đề án
- 5/8/2026: Nhắc việc các đầu mối cung cấp số liệu để bổ sung mô hình thu-chi và điểm hoà vốn cho mô hình điển hình CN và PGD
- 19/8/2026: Hoàn thiện dự thảo đề án Ver1 xin ý kiến PTGĐ gồm Dự thảo đề án, Phương thức đánh giá hiệu quả (PnL) forecast giai đoạn 10 năm và Kế hoạch tuyển dụng core team.
- 25/8/2026: Gửi dự thảo đề án (kèm PnL tổng thể) đến TCKT, NHBL, PC-RR, MKT, NS,... để xin ý kiến đóng góp
- 27/8/2026: Gửi dự thảo tờ trình/TB thành lập BDA triển khai đề án gồm cơ cấu, phân công nhiệm vụ và phân quyền đến các Khối/Phòng/Ban liên quan hỗ trợ góp ý hoàn thiện.
- 03/09/2026: Thành lập Tổ công tác Đề án STTC theo chỉ đạo
- 07/09/2026: Kickoff tổ công tác Đề án và góp ý dự thảo/phụ lục đi kèm từ tổ trưởng và tổ thành viên/khách mời (Treasury và BDA Bảo hiểm)
- 09/09/2026: Hoàn thiện masterfile chi tiết công việc đề án, gửi góp ý tổ công tác đề án.</t>
  </si>
  <si>
    <t>DIR-0E926556AF7F</t>
  </si>
  <si>
    <t>Chăm sóc khách hàng tiết kiệm online
Cho phép khách hàng lựa chọn nhận quà tại CN/PGD hoặc giao tận nhà; tổ chức dịch vụ giao nhận chuyên nghiệp, thuận tiện.</t>
  </si>
  <si>
    <t>Phòng QLKPP, Phòng HCQT&amp;QLCL
- 26/8/2026: Tiếp nhận chỉ đạo
- 27/8/2026: Xây ý tưởng, BRD gửi NHBL phối hợp thực hiện (NHS/IT/VH) cho tính năng chăm sóc KH tiết kiệm online. Đồng thời, market research đối tác giao hàng chuyên nghiệp (kết hợp tiêu chí cơ bản yêu cầu về CLDV và tiêu chuẩn tài xế - SpeedLight)
- 07/09/2026: họp cùng QLKPP/NHBL/CSKH/FinX thống nhất luồng triển khai tính năng nhận quà trên APP VikkiBank.
- 09/09/2026: Bổ sung tính năng quản lý kho quà tặng (Phân công UAT tính năng) + Lên ý tưởng tính năng nhận quà tích hợp vào kho quà</t>
  </si>
  <si>
    <t>Tháng 10/2026</t>
  </si>
  <si>
    <t>DIR-1BB0F8D9DA85</t>
  </si>
  <si>
    <t>Phát triển Vikkafe thành điểm trải nghiệm tài chính số và kết nối cộng đồng; đào tạo CBNV theo tiêu chuẩn dịch vụ cao, thân thiện, chuyên nghiệp.</t>
  </si>
  <si>
    <t>Phòng QLKPP_Siêu thị Tài chính
- 04/09/2026: Phối hợp Vikkafe hoàn thiện Kế hoạch kinh doanh 10 năm, xây dựng Chương trình bán chéo SPDV tài chính
- 09/09/2026: Xây dựng kế hoạch round1 bán Vikkafe out bank đến 22:00, kết hợp CT khuyến mãi gắn liền với SPDV VikkiBank để bán chéo</t>
  </si>
  <si>
    <t>DIR-280B4D47C693</t>
  </si>
  <si>
    <t>Đề án "Siêu thị tài chính"
Chuyển đổi CN/PGD thành điểm cung cấp dịch vụ tài chính – tiện ích tích hợp, gồm:
- Đào tạo GĐ ĐVKD thành “GĐ Siêu thị Tài chính”.- Thí điểm môi giới BĐS, tư vấn - định giá - quản lý, hỗ trợ vay – thanh toán, dịch vụ phụ trợ cho khách hàng; đào tạo CBNV làm agent cho Smile Living.
- Nâng cấp App để hiển thị tổng tài sản khách hàng, làm cơ sở scoring và pre-approved credit.- Tích hợp bán chéo bảo hiểm, SPDV Vietjet, Galaxy Pay (đưa GalaxyPay thay thế các dịch vụ Cổng thanh toán, thanh toán và chấp nhận thanh toán của VNpay và các đối tác khác), Kiều hối, mua bán ngoại tệ; tăng cường Cybersecurity/Fraud Detection và API tự động.- Triển khai mô hình y tế chủ động, phòng khám, bác sĩ gia đình cho CBNV/ khu dân cư</t>
  </si>
  <si>
    <t>Quý
3-4/2026</t>
  </si>
  <si>
    <t>Ngày 27/8: Triển khai theo lộ trình được phê duyệt của đề án siêu thị tài chính và theo tiến độ của tổ triển khai "Siêu thị Tài chính". Sẽ cập nhật tiến độ và nội dung theo từng giai đoạn.</t>
  </si>
  <si>
    <t>DIR-BF90560BFBFF</t>
  </si>
  <si>
    <t>Thành lập Tổ triển khai “Siêu thị Tài chính”
Tổ công tác gồm Ms. Trâm Anh, Mr. Hải Bùi, Mr. Hồng Sơn, Ms. Diệu Thảo, Ms. Hồng Ngọc; Tổ có nhiệm vụ xây dựng Đề án chi tiết trình phê duyệt.</t>
  </si>
  <si>
    <t>Ngày 26/8/2026</t>
  </si>
  <si>
    <t>Hoàn thành</t>
  </si>
  <si>
    <t>DIR-8BDD440C03E8</t>
  </si>
  <si>
    <t>Phòng HCQT&amp;QLCL_Team mua sắm
- Khám sức khỏe phúc lợi cho CBNV:
+ Đối với CBNV làm công việc độc hại (02 lần/năm): Đã triển khai khám lần 01 năm 2026 vào tháng 06/2026.
+ Đối với CBNV còn lại (01 lần/năm): Đã hoàn tất trình chủ trương cho năm 2026, đã chuyển BPMS thực hiện tháng 05/2026.
09/09 BPMS HD Bank đang thực hiện trình NCC, nhân sự theo chủ trương của BLĐ. Khi trình xong BPMS sẽ chuyển để P.HCQT&amp;QLCL thực hiện thông báo triển khai.
- Khám sức khỏe đầu vào tại các cơ sở y tế được chỉ định với nhân sự mới: BPMS đã nắm thông tin và đang thực hiện theo chỉ đạo của BLĐ.</t>
  </si>
  <si>
    <t>DIR-798BC535C794</t>
  </si>
  <si>
    <t>Theo dõi nội dung cập nhật tại sheet DAMC - đầu mối triển khai</t>
  </si>
  <si>
    <t>DIR-361BB749845E</t>
  </si>
  <si>
    <t>Phòng QLKPP_Siêu thị Tài chính
- 05/09: Nhận chỉ đạo
- 09/09: Đề xuất ý tưởng PTGĐ duyệt thuận bao gồm: Chọn Úc là thị trường triển khai mẫu (theo kế hoạch mở rộng Vikkafe sang Úc) với combo tối thiểu Vikkafe - Kiều hối - NHS VikkiBank (Mở rộng SPDV theo giai đoạn) và đảm bảo không gian trải nghiệm theo nhận diện thương hiệu (Bên cạnh bổ sung Cultural Experience Zone với 5 nhóm VH gồm Hồi giáo, Phật giáo, Hindu &amp; Nam Á, Kito Giáo &amp; Phương tây, Đông Bắc Á hiện đại)</t>
  </si>
  <si>
    <t>DIR-B7FCB4340752</t>
  </si>
  <si>
    <t>Mục tiêu đến 31/5/2026 phải hoàn thành tất cả các địa điểm kinh doanh của Vikki Bank theo chuẩn nhận diện thương hiệu</t>
  </si>
  <si>
    <t>Kỳ họp ngày 28/03/2026</t>
  </si>
  <si>
    <t>Ngày 31/05/2026</t>
  </si>
  <si>
    <t>PTML&amp;XDCB
Cải tạo mạng lưới toàn hệ thống: tiến độ triển khai của 237 điểm (212 điểm cải tạo + 25 điểm mở mới)
- 184 điểm: Hoàn thành bàn giao ĐVSD
- 34 điểm: Đang triển khai thi công (bao gồm 15 điểm thi công đại trà và 19 điểm mở mới)
- 12 điểm: PTML đã ký hợp đồng thuê, chờ chủ nhà cải tạo và bàn giao mặt bằng.
- 01 điểm (Phú Nhuận): đã có mặt bằng chờ đàm phán.
- 01 điểm (Đắk Nông): dừng phương án mua tài sản, triển khai tìm kiếm mặt bằng thuê di dời.
- 05 điểm (CN Quận 5, PGD Bình Minh, PGD Vũ Thư, PGD Châu Ổ, CN Long An) đang thực hiện thủ tục pháp lý.
Dự kiến:
- 206 điểm: Hoàn thành trước ngày 30/09/2026.
- 25 điểm: Hoàn thành trước ngày 31/12/2026.
- 06 điểm còn lại: Hoàn thành trong năm 2027.</t>
  </si>
  <si>
    <t>Năm 2026</t>
  </si>
  <si>
    <t>DIR-A9AF7DD7917E</t>
  </si>
  <si>
    <t>về việc mua tài sản tại Bến Lức đã được Ban lãnh đạo thông qua, phòng XDCB, PTMS &amp; Mua sắm chủ động thực hiện nhanh theo chỉ đạo</t>
  </si>
  <si>
    <t>Kỳ họp ngày 04/4/2026</t>
  </si>
  <si>
    <t>Phê duyệt thiết kế sơ bộ: Hoàn thành ngày 09/06/2026
Ngày cấp GPXD: 05/08/2026
Ngày triển khai thi công: 18/09/2026
Ngày dự kiến hoàn thành: 30/12/2026.</t>
  </si>
  <si>
    <t>6 tháng kể từ khi Nghị quyết có hiệu lực (Tháng 10/2026)</t>
  </si>
  <si>
    <t>DIR-DD50A0DDEB29</t>
  </si>
  <si>
    <t>Về xây dựng SLA cho các Khối/Đơn vị hỗ trợ: Giao Khối Quản lý Kênh Phân phối làm đầu mối phối hợp Phòng Tác nghiệp dịch vụ &amp; tổng đài và thúc đẩy các đơn vị rà soát, xây dựng hệ thống SLA đối với các Khối/Phòng tại Hội sở nhằm chuẩn hóa thời gian phục vụ và nâng cao chất lượng hỗ trợ cho đơn vị kinh doanh, tạo sự minh bạch và trách nhiệm rõ ràng. Hoàn thành trong tháng 04/2026</t>
  </si>
  <si>
    <t>Kỳ họp ngày 13/4/2026</t>
  </si>
  <si>
    <t>tháng 04/2026</t>
  </si>
  <si>
    <t>Phòng HCQT&amp;QLCL_Team QLCL
Đã ban hành thông báo 544/2026/TB-TGĐ để thực hiện rà soát các Quy định theo chức năng nhiệm vụ và SLA thực hiện.
--&gt; Done: TT QL&amp;HTTD, PPC, Phòng BCTH&amp;ALM, Khối QLRR&amp;GSTT, VPBLĐ, HCQT&amp;QLCL, BP Đào tạo, Khối Tín dụng, Phòng TNDV&amp;TĐ, QLKPP, TT&amp;TN TTTM, KDTT,
--&gt; Chưa hoàn tất: DVKH&amp;NQ, KNS, NHBL</t>
  </si>
  <si>
    <t>Phụ thuộc tiến độ các Đơn vị</t>
  </si>
  <si>
    <t>DIR-5DFF01142316</t>
  </si>
  <si>
    <t>Quy chuẩn hóa quy trình thẩm định tờ trình mạng lưới: Giao Bộ phận PTML tham mưu trực tiếp</t>
  </si>
  <si>
    <t>Kỳ họp ngày 25/4/2026</t>
  </si>
  <si>
    <t>PTML
Ngày 03/07/2026: Văn phòng Ban lãnh đạo Vikki Bank gửi thông tin góp ý của Ban pháp chế Văn phòng Chủ tịch, PTML đang thực hiện chỉnh sửa theo góp ý.
PTML đã hoàn tất sửa góp ý.
Ngày 11/08/2026: Ban pháp chế phản hồi hoàn thiện góp ý.
Ngày 17/08/2029: QLCL hoàn thiện góp ý. PTML đang trình ký các phòng ban và BLD để ban hành
Ngày 10/09/2026: Trình hồ sơ đến P.TGD phụ trách Khối QLKPP</t>
  </si>
  <si>
    <t>DIR-DBC202DB1B75</t>
  </si>
  <si>
    <t>Về mặt bằng tại Bình Chánh: Giao Phòng PTML-XDCB-MS phối hợp với các đơn vị liên quan tiếp tục theo dõi, phối hợp làm việc với cơ quan chức năng để hoàn tất thủ tục sang tên và thực hiện khảo sát, đánh giá hiện trạng công trình để đề xuất phương án triển khai phù hợp sau khi được cấp phép</t>
  </si>
  <si>
    <t>PGD Bình Chánh- Đang triển khai thi công.
Tiến độ thi công:
- Khu giao dịch và khu văn phòng: Hoàn thành 100% đã bàn giao đưa vào sử dụng.
- Khu vực ngoài nhà: Đang triển khai thi công Khối lượng đạt 70%.
Dự kiến hoàn thành: 15/09/2026</t>
  </si>
  <si>
    <t>DIR-11BEEA03F35C</t>
  </si>
  <si>
    <t>Khẩn trương bảo trì công trình cột cờ Hà Nội, tạm ứng kinh phí tài trợ từ Vikki Bank.</t>
  </si>
  <si>
    <t>Trước 31/5/2026</t>
  </si>
  <si>
    <t>Đã gửi Công văn số 1051/2026/CV-TGĐ ngày 28/05/2026 về việc Thông báo triển khai nâng cấp hệ thống chiếu sáng Cột Cờ Hà Nội cho Trung tâm bảo tồn di sản Thăng Long - Hà Nội.</t>
  </si>
  <si>
    <t>DIR-518C8DA26EAA</t>
  </si>
  <si>
    <t>Rà soát quy trình mua sắm tập trung, lập danh mục nhà cung cấp thường xuyên để ký hợp đồng dài hạn, phân cấp ủy quyền mua sắm nhỏ lẻ (phụ kiện CNTT tiêu chuẩn G7 không cần ý kiến Khối Công nghệ để đẩy nhanh tiến độ)</t>
  </si>
  <si>
    <t>Đang rà soát &amp; điều chỉnh quy trình</t>
  </si>
  <si>
    <t>DIR-7AE1B02DA1E5</t>
  </si>
  <si>
    <t>Đẩy nhanh cải tạo xây dựng 25 điểm mạng lưới mới
Đẩy nhanh cải tạo, bảo đảm hoàn thành đầy đủ điều kiện để đưa 25 điểm mạng lưới mới đi vào hoạt động trước cuối năm. Đối với các địa điểm còn vướng mắc, yêu cầu tổng hợp chi tiết nguyên nhân cụ thể để có phương án xử lý đồng bộ</t>
  </si>
  <si>
    <t>Trước ngày 31/12/2026</t>
  </si>
  <si>
    <t>XDCB
Tiến độ cải tạo 25 điểm mở mới tính đến ngày 10/09/206 như sau:
- 19 điểm: Đã nhận mặt bằng và đang triển khai thi công.
- 06 điểm: Đã có mặt bằng, XDCB đang triển khai khảo sát và lên thiết kế sơ bộ. Dự kiến triển khai thi công và hoàn thành trước ngày 30/12/2026.</t>
  </si>
  <si>
    <t>DIR-1F0BBE02D5C2</t>
  </si>
  <si>
    <t>Xây dựng kế hoạch phát triển mạng lưới năm 2027
Xác định sớm địa bàn ưu tiên phát triển mạng lưới cho năm 2027; triển khai song song chuẩn bị mặt bằng, nhân sự, ngân sách. Việc lựa chọn địa điểm phải linh hoạt, bám sát thực tế, nhất quán với định hướng phát triển tổng thể. Hoàn thiện báo cáo trình Ban lãnh đạo.</t>
  </si>
  <si>
    <t>Trước 10/10/2026</t>
  </si>
  <si>
    <t>PTML
Đã soạn xong tờ trình mở mới 2027 - hiện tờ trình đang trình các Giám đốc khu vực phê duyệt.
Nội dung tờ trình đã bao gồm việc lựa chọn địa bàn hoạt động mở mới bám sát thực tế và định hướng phát triển tổng thể toàn bộ mạng lưới của Vikki bank.</t>
  </si>
  <si>
    <t>DIR-7920EE8916B0</t>
  </si>
  <si>
    <t>Về công tác Đào tạo: Hoàn thiện chương trình đào tạo, đồng thời xây dựng chuẩn mực về hình ảnh và kỹ năng cho cán bộ nhân viên. Cụ thể:
- Lập nhu cầu và kế hoạch đào tạo năm 2026, bao gồm danh sách các khóa học cần triển khai (không bao gồm các khóa đào tạo sản phẩm hoặc phát sinh theo nhu cầu);
- Xây dựng và trình phê chuẩn bộ giáo án mẫu;
- Hoàn thiện đề cương hai khóa học “Nhập ngành Ngân hàng” và “Đào tạo hội nhập Vikki Bank’’.
- Thời hạn nộp đề cương trước ngày 21/3/2026; hoàn thành chương trình đào tạo và chuẩn hóa tài liệu trước ngày 30/3/2026.</t>
  </si>
  <si>
    <t>Kỳ họp ngày 31/10/2025
Kỳ họp ngày 08/11/2025
Kỳ họp ngày 14/03/2026</t>
  </si>
  <si>
    <t>-Trước ngày 21/03/2026
- trước ngày 30/3/2026</t>
  </si>
  <si>
    <t>1. Kế hoạch đào tạo năm 2026: Ngày 11/06/2026: BPĐT đã nhận góp ý của Viện Victoria về KH đào tạo, đã hoàn thiện nội dung theo góp ý của Viện, đang gửi các Khối nghiệp vụ HO góp ý
2. Bộ giáo án mẫu: BPĐT đang phối hợp với Viện Victoria hoàn thiện bộ giáo trình mẫu
3."Nhập ngành Ngân hàng": Đang dự thảo tờ trình và chờ Viện Victoria cung cấp báo giá
4. "Đào tạo hội nhập Vikki Bank":
- Về khung Chương trình đào tạo Hội nhập:
Ngày 16/06/2026, Bộ phận Đào tạo đã cập nhật lại Khung chương trình đã được Mdm đồng ý. Cụ thể, chương trình được cấu trúc thành 10 điểm hẹn, mỗi điểm hẹn (ĐH) tương ứng với 1 module học: ĐH1-Hội nhập; ĐH2-Trung tâm thẻ; ĐH3-Vikkafe; ĐH4-VikkStyle; ĐH5-Livestream; ĐH6-Ngân hàng Số App/Web; ĐH7-Cất cánh; ĐH8-Nhân Văn ; ĐH9-Kết nối / Hợp lực / Cùng thắng; ĐH10-Tự học / Làm mới bản thân
- Về tài liệu đào tạo Hội nhập: Tính đến 17/09/2026:
+ Các đơn vị đã cập nhật đầy đủ tài liệu trên link Master Plan nhưng chưa gửi bản có chữ ký kiểm soát của Lãnh đạo Khối và phê duyệt của PTGĐ phụ trách về BPĐT theo thông báo;
+ Các nội dung chưa có đầu mối phụ trách tại Vikki Bank: Module 1 - Phần 1.5 Kiến thức nền LMS ; Module 2 - Phần 2.1 Trải nghiệm thực tế sử dụng Thẻ VikkiGO đi Metro, xe bus, taxi; Module 5 - Học cách livestream, viết content; Module 9 - Làm quen VikkBuddy (nhóm 3 người). BPĐT đã email Lãnh đạo và các đơn vị liên quan để lấy thông tin về đầu mối phụ trách nhưng chưa có kết quả.
+ BPĐT đã chuyển MKT thiết kế các tài liệu đã được cập nhật hoàn chỉnh (MKT đã hoàn tất thiết kế tài liệu)
Thời gian đào tạo: từ Quý 3/2026</t>
  </si>
  <si>
    <t>DIR-58FB75DB40D3</t>
  </si>
  <si>
    <t>Yêu cầu với các cấp quản lý là có bằng MBA. Trước mắt bổ túc mini MBA trong 6 tháng</t>
  </si>
  <si>
    <t>- Khóa 1:
+ Khai giảng ngày 10/01/2026
+ SL học viên: 40
+ Đã triển khai đào tạo 10 chuyên đề chính và 5 chuyên đề phụ.
+ Đang xếp lịch học bổ sung cho các học viên chưa hoàn thành thời lượng tham dự.
- Khóa 2:
+ Khai giảng ngày 05/9/2026
+ Số lượng học viên: 103 (Lớp tại HN:46, Lớp tại HCM:57)
+ Các chuyên đề đã đào tạo:
- Tại Hà Nội: Nghệ thuật đàm phán và lãnh đạo; Marketing 5.0
- Tại HCM: Bắt đầu triển khai từ 12/9/2026</t>
  </si>
  <si>
    <t>DIR-A30323198EBC</t>
  </si>
  <si>
    <t>Tổ chức chương trình đào tạo kỹ năng lập kế hoạch và chương trình hành động chuẩn mực cho các Khối, từ đó áp dụng triển khai lập kế hoạch 6 tháng cuối năm 2026.</t>
  </si>
  <si>
    <t>Kỳ họp ngày 23/5/2026</t>
  </si>
  <si>
    <t>Tháng 6/2026</t>
  </si>
  <si>
    <t>Bộ phận Đào tạo nhận chỉ đạo và phối hợp cùng Viện Victoria để lên kế hoạch triển khai</t>
  </si>
  <si>
    <t>DIR-9F4A986A3250</t>
  </si>
  <si>
    <t>Toàn hệ thống phải học tập và thực hành triệt để Quy trình phát triển sản phẩm và Quy trình ra mắt sản phẩm. Thống nhất lồng ghép đào tạo Core mới vào các chương trình đào tạo Next Leader, CEO Global và đào tạo lãnh đạo chi nhánh.</t>
  </si>
  <si>
    <t>Bộ phận Đào tạo nhận chỉ đạo và đã gửi đề xuất sang Viện Victoria. Sau khi Viện Victoria hoàn thành cập nhật khung đào tạo của chương trình đào tạo Next Leader, CEO Global sẽ có thông báo đến Vikki Bank</t>
  </si>
  <si>
    <t>DIR-C7A23EE3253E</t>
  </si>
  <si>
    <t>Khối QLKPP&amp;TN: Về việc kết nối phần mềm HDS với tài khoản VikkiMe, giao Ngân hàng Bán lẻ đầu mối trao đổi thống nhất giữa FinX, Khối QLKPP&amp;TN và HDS về việc kết nối triển khai
(chuyển Khối QLKPP&amp;TN báo cáo theo đề xuất TTCN ngày 29/01/2026)</t>
  </si>
  <si>
    <t>QLKPP&amp;TN đang trao đổi nghiệp vụ và mô tả yêu cầu cho FINX tiếp nhận, phân tích và làm rõ. Hạng mục lên quan đến NHBL và QLKPP&amp;TN</t>
  </si>
  <si>
    <t>Theo tiến độ chung của NHBL và QLKPP</t>
  </si>
  <si>
    <t>DIR-1312AC2E3F77</t>
  </si>
  <si>
    <t>PTML-XDCB-MS: Kế hoạch và chương trình hành động cho năm 2026 cần tập trung lưu ý các điểm sau: Mạng lưới – Xây dựng cơ bản có kế hoạch hoạt động chính thức tại Hà Nội và Tòa nhà Marina</t>
  </si>
  <si>
    <t>Kỳ họp ngày 10/01/2026</t>
  </si>
  <si>
    <t>A. Hạng mục đã hoàn thành
1. Tầng trệt 2 booth tư vấn
2. Cảnh quan- phân luồng giao thông: Cải tạo công viên khu dân cư Baoson, thi công ram dốc tại sảnh đón mới, thảm nhựa đường nội bộ khu nhà ga bason. Đường nội bộ lối ra đường Tôn Đức Thắng và cảnh quan sân vườn khu nhà xe công nghệ.
B. Hạng mục đang triển khai thi công
1B. Hạng mục Giao thông &amp; Sân vườn tại Marina: Dự kiến triển khai 14/9/2016 - Hoàn thành 14 ngày. bao gồm các hạng mục như sau:
1. TC Hoàn thiện Bãi đậu xe tạm 800m2: Sân vườn Khu Công viên Bason
2. TC Hoàn thiện Sảnh đón "Mặt bờ sông" (Không gồm mái đón)
3. TC Cây xanh Khu sân vườn - Marina IFC
4. TC Cây xanh Khu bờ sông 5000m2 (Bước 1: Phát quang, Trồng cỏ...)
2B. Sảnh chính Tầng trệt Marina:
- Chờ xin chủ trương phê duyệt thiết kế.
- Dự kiến thi công: 30 ngày kể từ ngày phê duyệt TK và bàn giao MB.
3B. Tầng 23 Văn Phòng Vikki-Marina:
- Khu giao dịch: Hoàn thành 100%. Đã bàn giao cho ĐVSD ngày 15/08/2026
- Khu văn phòng: Đang triển khai khối lượng đạt 97%. Dự kiến hoàn thành và bàn giao cho ĐVSD ngày 05/10/2026."</t>
  </si>
  <si>
    <t>DIR-57306525102C</t>
  </si>
  <si>
    <t>PTML-XDCB-MS:
1. Giao Phòng PTML-XDCB-MS có báo cáo tổng thể về các vướng mắc trong quá trình triển khai xây dựng, cải tạo địa điểm tại các Khu vực và kế hoạch sửa chữa mạng lưới 2026 trình Tổng Giám đốc chỉ đạo kịp thời
2. Về công tác xây dựng cơ bản tại các Đơn vị kinh doanh, Phòng PTML – XDCB – MS đẩy nhanh tiến độ, hoàn thiện cơ sở vật chất để hoàn thiện nhận diện thương hiệu đồng bộ trên toàn khu vực cũng như toàn hệ thống
3. Về cải tạo trụ sở đơn vị kinh doanh, bộ phận XDCB cùng lãnh đạo đơn vị chủ động giám sát chặt chẽ chất lượng sửa chữa, nâng cấp.</t>
  </si>
  <si>
    <t>Kỳ họp ngày 16/01/2026
Kỳ họp ngày 17/01/2026
Kỳ họp ngày 16/5/2026</t>
  </si>
  <si>
    <t>Về công tác triển khai thi công 212 điểm. Đến ngày 27/08/2026 XDCB đã hoàn thành 184 điểm. Bao gồm:
- Đợt 1- 116 điểm: Hoàn thành
- Đợt 2- 96 điểm: 68/96 điểm hoàn thành. 28 điểm còn lại:
+ 15 điểm: đang triển khai thi công.
+ 06 điểm: PTML đã ký hợp đồng thuê, chờ chủ nhà cải tạo và bàn giao mặt bằng.
+ 01 điểm (Phú Nhuận): đã có mặt bằng chờ đàm phán.
+ 01 điểm (Đắk Nông): dừng phương án mua tài sản, triển khai tìm kiếm mặt bằng thuê di dời.
+ 05 điểm (CN Quận 5, PGD Bình Minh, PGD Vũ Thư, PGD Châu Ổ, CN Long An) đang thực hiện thủ tục pháp lý.</t>
  </si>
  <si>
    <t>DIR-5A5C83253127</t>
  </si>
  <si>
    <t>PTML-XDCB-MS: Về thiết kế 72 Lý Thường Kiệt: Giao Phòng PTML-XDCB-MS báo cáo và trình lại Chủ sở hữu xem xét phê duyệt thiết kế để đẩy nhanh quá trình thi công, đưa trụ sở vào khai thác</t>
  </si>
  <si>
    <t>- Chống thấm: Hoàn thành ngày 02/04/2026
- XDCB đang Trình phê duyệt thiết kế nội thất Trụ sở Vikki Hà Nội – 72 Lý Thường Kiệt đến Văn phòng đại diện. Song song đó XDCB triển khai trước các hạng mục cải tạo như sau:
1. Trồng cây xanh khu vực từ mái rủ xuống khu hàng rào thép màu xanh. Dự kiến hoàn thành 20/09/2026.
2. Cung cấp và lắp đặt đèn chuyển nhiệt độ màu. Dự kiến hoàn thành 14/09/2026.
3. Camera: Dự kiến bắt đầu triển khai trước ngày 12/09/2026. Hoàn thành trước ngày 30/09/2026.
4. Thi công cải tạo Tầng 1,2,3, 4: Dự kiến triển khai ngày 12/0/2026</t>
  </si>
  <si>
    <t>DIR-7235B3DDFCFE</t>
  </si>
  <si>
    <t>Phòng PTML-XDCB &amp; MS: Phòng XDCB cần đề xuất, gia hạn thời gian dự kiến hoàn thành đối với các hạng mục thuộc dự án thiết kế bổ sung cây xanh tại 03 điểm mẫu. Đồng thời, xây dựng kế hoạch và thời gian về triển khai các điểm đại trà, kèm tiến độ cụ thể. Báo cáo tổng thể tiến độ và thời hạn hoàn thành gửi Tổng Giám đốc để xem xét và chỉ đạo.</t>
  </si>
  <si>
    <t>Kỳ họp ngày 21/11/2025</t>
  </si>
  <si>
    <t>Hạng mục cây xanh: XDCB đang triển khai công tác thi công đại trà cho 176 điểm đã hoàn thành thi công.
Tiến độ thực hiện:
- KV HCM MT TN DNB: Hoàn thành 49/102 điểm. Đang triển khai thi công 53 điểm còn lại.
- Miền Tây: Hoàn thành 10/46 điểm. Đang triển khai thiết kế và thi công 36 điểm còn lại
- Miền Bắc: Hoàn thành 24/35 điểm. Đang triển khai thi công 11 điểm còn lại.
Dự kiến hoàn thành 176 điểm trước ngày 30/09/2026.</t>
  </si>
  <si>
    <t>DIR-910CC6540D0D</t>
  </si>
  <si>
    <t>Phòng PTML-XDCB &amp; MS: Công trình Hải Phòng: tiếp tục đầu tư xây dựng, Incons chịu trách nhiệm xây dựng, Vikki Bank chịu trách nhiệm pháp lý cho dự án</t>
  </si>
  <si>
    <t>Kỳ họp ngày 24/5/2025</t>
  </si>
  <si>
    <t>Đang phối hợp Pháp chế và Công ty luật xử lý các vấn đề pháp lý</t>
  </si>
  <si>
    <t>DIR-BF728F4BCB1B</t>
  </si>
  <si>
    <t>‘Bộ Phận đào tạo:
Về kế hoạch đào tạo 2026
Theo trình bày của Bộ phận đào tạo và ý kiến của các thành viên tham dự cuộc họp. Giao Bộ phận đào tạo nhanh chóng hoàn thiện kế hoạch đào tạo năm 2026 và trình Ban Lãnh đạo xem xét. Trong đó, lưu ý một số nội dung như sau:
- Tập trung đào tạo cán bộ nhân viên Đơn vị kinh doanh các kỹ năng tìm kiếm khách hàng, giao tiếp, xử lý nghiệp vụ thực tế và chăm sóc khách hàng.
- Về quy chế, quy định đào tạo
- Về phương thức đào tạo
- Về tu nghiệp nước ngoài
- Về giáo trình, tài liệu</t>
  </si>
  <si>
    <t>Kỳ họp ngày 09/01/2026</t>
  </si>
  <si>
    <t>- Kế hoạch đào tạo năm 2026: thực hiện theo chỉ đạo của Madame tại ngày 03/4/2026 về Danh mục các khoá đào tạo; Mỗi nhân viên cần đào tạo những khóa nào; Chi phí đào tạo mỗi nhân viên; Chuyển cô Hằng xem. Tính đến tháng 5/2026, BPĐT đã gửi thông tin cho cô Hằng; đã nhận góp ý của Viện Victoria về KH đào tạo, đã hoàn thiện nội dung theo góp ý của Viện, đang gửi các Khối nghiệp vụ HO góp ý
- Về quy định đào tạo: Bộ phận Đào tạo đang rà soát lại quy định để ban hành mới, phù hợp với tình hình mới.
- Về phương thức đào tạo: Ngoài các phương thức đào tạo đang áp dụng, trong năm 2026, Bộ phận Đào tạo còn upload tài liệu lên Thư viện SharePoint của cộng đồng Đào tạo trên Viva Engage để CBNV tham khảo, sử dụng bất kỳ lúc nào khi cần.
- Về giáo trình, tài liệu:
Năm 2025 đã có 8 bộ tài liệu được Hội đồng thẩm định chương trình đào tạo thông qua. Năm 2026, các tài liệu này sẽ được thẩm định lại.
Năm 2026, Bộ phận Đào tạo phối hợp các Đơn vị nghiệp vụ để chuẩn hóa tài liệu cho các chương trình cốt lõi.</t>
  </si>
  <si>
    <t>Xuyên suốt
năm 2026</t>
  </si>
  <si>
    <t>DIR-5C4DC82FE06F</t>
  </si>
  <si>
    <t>Bộ phận Đào tạo: Tài liệu đào tạo
- Triển khai các bộ tài liệu/cẩm nang bán hàng.
-Phối hợp và sử dụng tài liệu của HDBank hiện đang áp dụng. Lưu ý xây dựng tài liệu đào tạo phù hợp hoạt động ngân hàng số</t>
  </si>
  <si>
    <t>Kỳ họp ngày 31/5/2025
Kỳ họp ngày 07/6/2025
Kỳ họp ngày 30/8/2025</t>
  </si>
  <si>
    <t>BPĐT đang phối hợp cùng các Khối nghiệp vụ có liên quan thực hiện</t>
  </si>
  <si>
    <t>DIR-6E219738CF7A</t>
  </si>
  <si>
    <t>K.QTRR GSTT</t>
  </si>
  <si>
    <t>Đối với các văn bản thuộc phạm vi điều chỉnh theo thông tư 83/2026/TT-NHNN: Giao Khối QTRR&amp;GSTT đầu mối, đôn đốc các Khối/Đơn vị có liên quan ưu tiên rà soát, hoàn tất 58 văn bản (46 văn bản trọng yếu và 12 văn bản có yếu tố vi phạm pháp luật) trước ngày 25/6/2026 nhằm đảm bảo tuân thủ quy định, hạn chế rủi ro pháp lý và nguy cơ xử phạt</t>
  </si>
  <si>
    <t>trước ngày 25/6/2026</t>
  </si>
  <si>
    <t>12 văn bản có yếu tố vi phạm pháp luật:
i. Trong đó có 02 tài liệu của Khối QTRR&amp;GSTT đã được đánh giá lại là tuân thủ: Quy định xếp hạng tín dụng nội bộ khách hàng cá nhân, doanh nghiệp tại Dong A Bank và Quy định về hệ thống kiểm soát nội bộ tại Vikki Bank.
ii. Tiến độ của 10 tài liệu có yếu tố vi phạm pháp luật:
- Đã ban hành: 05
+ Quy định về quản lý ngoại hối đối với việc vay, trả nợ nước ngoài của doanh nghiệp (K.QLKPP&amp;TN);
+ Quy định thủ tục nhận và quản lý tài sản bảo đảm (TT QL&amp;HTTD);
+ Quy trình cấp tín dụng thẻ cho khách hàng cá nhân (NHBL);
+ Quy định mua bán nợ tại DAB
+ Quy định kinh doanh vàng tại Ngân Hàng Đông Á + Quy trình kinh doanh vàng miếng (P.KDTT);
-Hủy: 02
+ Quy trình kinh doanh sản phẩm phái sinh lãi suất;
+ Quy định kinh doanh sản phẩm phái sinh lãi suất (P.KDTT).
- Đang trình ký: 01 - Quy định mua bán nợ với công ty quản lý tài sản của các tổ chức tín dụng Việt Nam-VAMC (Ban xử lý nợ)
- Đang dự thảo/gửi góp ý: 01 - Quy định cung cấp dịch vụ chi lương
- Gộp: 01 (gộp Quy trình kinh doanh vàng miếng vật chất vào Quy định kinh doanh vàng tại Ngân Hàng Đông Á)
Có tổng cộng 70 văn bản phải rà soát theo giai đoạn 1 theo Thông tư 83 và các quy định pháp luật khác, trong đó
- Hoàn thành: 58 văn bản;
- Đang trình ký: 7 văn bản;
- Đang dự thảo, Gửi góp ý: 2 văn bản
- Đã hủy: 1 văn bản
- Chưa thực hiện: 1 văn bản
- Gộp: 1 văn bản</t>
  </si>
  <si>
    <t>Phụ thuộc theo tiến độ hoàn thành của các Đơn vị liên quan</t>
  </si>
  <si>
    <t>DIR-50240468D169</t>
  </si>
  <si>
    <t>Ưu tiên tuyệt đối cho việc hoàn thiện các văn bản theo Thông tư 83/TT-NHNN sẽ có hiệu lực từ ngày 01/7/2026, để đảm bảo tính tuân thủ cho ngân hàng.</t>
  </si>
  <si>
    <t>Kỳ họp ngày 30/5/2026</t>
  </si>
  <si>
    <t>Trước 25/6/2026</t>
  </si>
  <si>
    <t>Tiến độ rà soát theo Thông tư 83/2025/TT-NHNN tính đến ngày 10/9/2026:
Tổng số: 54 văn bản
- Đã hoàn thành: 47 văn bản
- Đang trình ký: 05 văn bản
- Đang dự thảo, gửi góp ý: 02 văn bản</t>
  </si>
  <si>
    <t>Phụ thuộc tiến độ hoàn thành của các Đơn vị liên quan</t>
  </si>
  <si>
    <t>DIR-6A8B6F3BBBEC</t>
  </si>
  <si>
    <t>Về việc rà soát, kiểm soát dữ liệu tín dụng
Giao Khối QTRR&amp;GSTT phối hợp với các đơn vị có liên quan rà soát và tăng cường công tác kiểm tra, giám sát việc nhập liệu trên hệ thống, đặc biệt đối với các thông tin về hợp đồng vay,mã ngành nghề, mục đích vay vốn…nhằm bảo đảm tính chính xác của dữ liệu, phục vụ công tác quản trị và báo cáo theo quy định</t>
  </si>
  <si>
    <t>Khối QTRR&amp;GSTT đang phối hợp ĐVKD rà soát, kiểm tra và giám sát dữ liệu tín dụng trên hệ thống các hợp đồng tín dụng đã nhập liệu trên hệ thống. Đối với các hợp đồng tín dụng mới đề nghị Trung tâm hỗ trợ tín dụng rà soát, kiểm tra việc nhập liệu của các ĐVKD.</t>
  </si>
  <si>
    <t>Phụ thuộc tiến độ chung của đơn vị liên quan</t>
  </si>
  <si>
    <t>DIR-23988E9AA1C5</t>
  </si>
  <si>
    <t>Mô hình ngân hàng số thế hệ mới 3 trong 1, khối QLKPP chủ động đốc thúc Pháp chế sớm hoàn thiện các thủ tục.</t>
  </si>
  <si>
    <t>Trước ngày 25/6/2026</t>
  </si>
  <si>
    <t>Vào ngày 16/6/2026, P.Pháp Chế đã gửi email đề xuất P.QLKPP theo dõi thông tin tiến độ trình của Tờ trình để phản hồi ngay cho P.Pháp Chế khi có kết quả.
(Để P.Pháp Chế có cơ sở gửi báo cáo đến Ngân hàng Nhà nước liên quan đến mô hình kinh doanh mới của Vikki Bank. P.Pháp Chế đã đề xuất P.QLKPP (đầu mối trình Tờ trình) theo dõi và cập nhật ngay kết quả khi nhận được thông tin phê duyệt từ Chủ sở hữu liên quan đến Tờ trình V/v triển khai thí điểm mô hình Vikkafe &amp; Ngân hàng số thế hệ mới Vikki Bank (mà Đơn vị đang trình) đến P.Pháp Chế).
Theo email phản hồi từ P.QLKPP: Toàn bộ tài liệu liên quan đã trình CSH và QLKPP đã báo cáo Lãnh đạo để nhờ tác động rút ngắn tiến độ. QLKPP sẽ báo ngay cho PPC khi được phê duyệt.
Đến nay P.Pháp Chế chưa nhận được thông tin phê duyệt.</t>
  </si>
  <si>
    <t>Phụ thuộc tiến độ phê duyệt Tờ trình V/v triển khai thí điểm mô hình Vikkafe &amp; Ngân hàng số thế hệ mới Vikki Bank</t>
  </si>
  <si>
    <t>DIR-1FF08436CBD2</t>
  </si>
  <si>
    <t>1. Về chất lượng tín dụng toàn hàng:
Giao Khối QTRR&amp;GSTT tiếp tục rà soát, phân tách danh mục tín dụng trước và sau ngày 17/02/2025 để đánh giá khách quan chất lượng tín dụng, bảo đảm tính minh bạch trong công tác quản trị. Hoàn thành trước ngày 30/6/2026.
Đồng thời, chủ trì phối hợp với các Khu vực rà soát chi tiết các khoản vay có dấu hiệu rủi ro, xác định rõ nguyên nhân và trách nhiệm liên quan, từ đó đề xuất giải pháp xử lý phù hợp nhằm nâng cao chất lượng tín dụng và hỗ trợ đơn vị xử lý dứt điểm các tồn đọng. Kế hoạch triển khai và hoàn thành trước ngày 31/7/2026.</t>
  </si>
  <si>
    <t>- P.QLRR đã xây dựng báo cáo định kỳ hàng tuần (gửi Tổng Giám đốc, Giám đốc các Khu vực), trong đó phân tách rõ danh mục tín dụng trước/sau 17/02/2025 và phân tách theo thẩm quyền phê duyệt tín dụng để xác định chất lượng nợ, trách nhiệm các cấp thẩm quyền đối với khoản nợ giải ngân sau 17/02/2025.
- Khi phát sinh các khoản vay có dấu hiệu rủi ro, Phòng QLRR phối hợp Phòng GSTT họp với các ĐVKD tìm hiểu nguyên nhân, biện pháp khắc phục và đề xuất giải pháp kiểm soát rủi ro. Vừa qua, Khối đã trao đổi với Lãnh đạo CN Tân Bình các hồ sơ quá hạn lớn: Cty NIPPON AGRI , Nguyễn Thị Thanh Dung...</t>
  </si>
  <si>
    <t>Tiếp tục thực hiện báo cáo định kỳ và phối hợp với các ĐVKD khi có NQH phát sinh mới</t>
  </si>
  <si>
    <t>DIR-C00B93D4A7B9</t>
  </si>
  <si>
    <t>1. Bảo hộ sở hữu trí tuệ: Đăng ký bản quyền, nhãn hiệu và bảo hộ sở hữu trí tuệ trong nước/quốc tế cho thiết kế, nhận diện thương hiệu sản phẩm, các dòng thẻ mới.
2. Đăng ký thương hiệu, quyền sở hữu trí tuệ
Đẩy nhanh xử lý hồ sơ đăng ký bảo hộ thương hiệu, tên gọi, thiết kế SP; hoàn thiện thủ tục pháp lý chuyển giao quyền sở hữu từ các đơn vị/ đối tác thiết kế.</t>
  </si>
  <si>
    <t>Kỳ họp ngày 22/8/2026
Kỳ họp ngày 28/8/2026</t>
  </si>
  <si>
    <t>Phòng Marketing phối hợp với Phòng Pháp chế, TT thẻ và các bên liên quan để thực hiện các thủ tục đăng ký quyền sở hữu nhãn hiệu, thương hiệu trong nước/ quốc tế theo từng trường hợp cụ thể khi có phát sinh, phù hợp với quy định pháp luật trong nước và quốc té</t>
  </si>
  <si>
    <t>Thực hiện khi có phát sinh</t>
  </si>
  <si>
    <t>DIR-B54DBD6A7B21</t>
  </si>
  <si>
    <t>Làm việc với CQQL về phương án tái cơ cấu
Nghiên cứu cơ sở pháp lý, nội dung phương án tái cơ cấu; chủ động trao đổi, giải trình, thuyết phục cơ quan quản lý các cơ chế, giới hạn, yêu cầu quản lý đặc thù có thể ảnh hưởng đến hoạt động của ngân hàng. Bảo đảm việc áp dụng quy định không làm thay đổi bản chất phương án hoặc hạn chế bất hợp lý các điều kiện hỗ trợ dành cho ngân hàng đang thực hiện tái cơ cấu.</t>
  </si>
  <si>
    <t>Khối đang triển khai thực hiện theo chỉ đạo phân công của TGĐ</t>
  </si>
  <si>
    <t>DIR-425E31F5BD44</t>
  </si>
  <si>
    <t>Rà soát, bổ sung hồ sơ mua bán nợ phục vụ công tác thanh tra.</t>
  </si>
  <si>
    <t>Trước ngày 10/9/2026</t>
  </si>
  <si>
    <t>Khối đã và đang triển khai thực hiện phục vụ cho công tác thanh tra</t>
  </si>
  <si>
    <t>DIR-499B8E17C0AE</t>
  </si>
  <si>
    <t>Sớm ban hành Quy định, hướng dẫn giao dịch trái phiếu, thống nhất nguyên tắc áp dụng khung quy định sẵn có của HDBank sang Vikki Bank.</t>
  </si>
  <si>
    <t>NHBL là đầu mối, Khối QTRR&amp;GSTT sẽ phối hợp thực hiện với NHBL để đồng soạn thảo, xây dựng khung tài liệu này</t>
  </si>
  <si>
    <t>phụ thuộc theo tiến độ của đơn vị liên quan</t>
  </si>
  <si>
    <t>DIR-96C971493677</t>
  </si>
  <si>
    <t>Rà soát tổng thể danh mục sản phẩm, điều chỉnh, cập nhật lại theo các quy định pháp luật mới, các kiến nghị của Thanh tra.</t>
  </si>
  <si>
    <t>NHBL là đầu mối, Khối QTRR&amp;GSTT sẽ phối hợp thực hiện với NHBL để triển khai thực hiện nội dung này khi có yêu cầu từ đơn vị đầu mối</t>
  </si>
  <si>
    <t>DIR-9E81E3D42572</t>
  </si>
  <si>
    <t>Báo cáo chuyên đề chi tiết tình hình nợ xấu phát sinh mới, làm rõ những bất cập trong quy trình định giá tài sản hiện hành có thể dẫn tới rủi ro, trình Ban lãnh đạo và Chủ sở hữu xin ý kiến chỉ đạo xử lý.</t>
  </si>
  <si>
    <t>Trước 10/9/2026</t>
  </si>
  <si>
    <t>Khối họp trực tiếp với TGĐ vào ngày 08/09/2026 để báo cáo sơ lược về chất lượng nợ tháng 08/2026 và đang tiếp tục bổ sung kết quả kiểm tra tuân thủ các hồ sơ NQH phát sinh mới để hoàn thiện BC cho Chủ tịch HĐTV dự kiến hoàn thành 11/09/2026 . Đồng thời đang phối hợp với Khối Tín dụng triển khai thực hiện liên quan đến việc làm rõ những bất cập trong quy trình định giá tài sản hiện hành có thể dẫn tới rủi ro .</t>
  </si>
  <si>
    <t>DIR-341DAFAC98B6</t>
  </si>
  <si>
    <t>Về xây dựng hệ thống chống gian lận: Khối QTRR&amp;GSTT đầu mối triển khai và xin lịch họp Ban Điều hành tổ chức cuộc họp chuyên đề về vấn đề này để trao đổi và triển khai hệ thống</t>
  </si>
  <si>
    <t>Khối QTRR&amp;GSTT đã cùng Galaxy Holding và HDBank tham gia 03 buổi giới thiệu phương pháp luận và giải pháp công nghệ chống gian lận trong chiều ngày 17/04/2026 của BPC, SAS và KPMG
Đã tham dự buổi giới thiệu phương pháp luận của EY vào ngày 28/04/2026. cùng Galaxy Holding và HDBank.
Dự kiến làm việc với Phòng Mua sắm tập trung về định hướng, chỉ đạo của Chủ Sở hữu về việc xem xét sử dụng cấu phần phòng chống gian lận có sẵn trên Core Temenos hay tìm hiểu và sử dụng các giải pháp công nghệ chống gian lận của các đối tác đã được giới thiệu.
Đến 13/08/2026 chưa phát sinh mới.</t>
  </si>
  <si>
    <t>Thực hiện
xuyên suốt</t>
  </si>
  <si>
    <t>UNPARSED_EXPECTED_DATE</t>
  </si>
  <si>
    <t>DIR-6504DBC6528D</t>
  </si>
  <si>
    <t>Phòng Giám sát tuân thủ: Về khắc phục lỗi sau thanh tra:
- Khối QTRR&amp;GSTT làm đầu mối báo cáo, Khối TCKH theo dõi kết quả
- Giao Khối Tài chính kế hoạch đầu mối làm việc với FinX để thống nhất lại chi phí hạng mục triển khai nằm trong kế hoạch chi phí 2025 cho phù hợp</t>
  </si>
  <si>
    <t>Kỳ họp ngày 23/8/2025
Kỳ họp ngày 03/10/2025</t>
  </si>
  <si>
    <t>- Đến ngày 10/09/2026
+ Lũy kế kết quả theo dõi khắc phục các kiến nghị theo báo cáo của: 13 đơn vị (CN Cà Mau; CN Cần Thơ; CN Trà Vinh; CN Ninh Thuận; CN Tây Ninh; CN Long An; CN Đắk Nông; CN Tiền Giang; Bình Dương; CN Bình Thuận; CN Thái Nguyên; CN Đồng Nai, Hội sở) tổng cộng có 13 kết luận - 106 kiến nghị trong đó: đã khắc phục 86 kiến nghị, Không thể khắc phục 05 kiến nghị, 15 kiến nghị tiếp tục được đơn vị rà soát khắc phục (trong đó có 2 kiến nghị của CN Đồng Nai đã thực hiện xong đang chờ văn bản chấp thuận của TT NHNN).
+ Văn bản chấp thuận của TT : có 08 văn bản chấp thuận khắc phục hoàn thành kiến nghị (CN Ninh Thuận, CN Cần Thơ, CN trà Vinh, CN Tây Ninh, CN Đăk Nông, CN Bình Dương, CN Bình Thuận, CN Thái Nguyên), 02 văn bản chấp thuận hoàn thành một phần kiến nghị (CN Long An, CN Đồng Nai)</t>
  </si>
  <si>
    <t>Thực hiện xuyên suốt năm hoặc đến khi các Đơn vị hoàn tất khắc phục kiến nghị theo kết luận TT NHNN.</t>
  </si>
  <si>
    <t>DIR-F6451F0AB941</t>
  </si>
  <si>
    <t>Phòng Giám sát tuân thủ: Về hệ thống AMLOCK, phối hợp với Trung tâm Công nghệ xem xét, rà soát, kiểm tra lại và tham mưu Ban Lãnh đạo về chủ trương phương án sử dụng chung một hệ thống nhưng tách bạch thành hai tài khoản riêng biệt của HDBank và Vikki Bank</t>
  </si>
  <si>
    <t>Kỳ họp ngày 01/8/2025</t>
  </si>
  <si>
    <t>Có thông tin trả hồ sơ chờ thông báo chính thức từ TT mua sắm tập trung</t>
  </si>
  <si>
    <t>Chờ chỉ đạo tiếp theo</t>
  </si>
  <si>
    <t>DIR-D68F5E41AD36</t>
  </si>
  <si>
    <t>K.TCKH</t>
  </si>
  <si>
    <t>1. Về sản phẩm kinh doanh vàng: Để hoạt động kinh doanh vàng được triển khai đúng quy định của Ngân hàng nhà nước. Giao Kế toán trưởng phối hợp cùng Khối QTRR&amp;GSTT và Phòng Kinh doanh tiền tệ xử lý gấp rút việc đưa trạng thái vàng về 0 trong Quý I/2026 và đẩy mạnh triển khai kinh doanh trong Quý II/2026
2. Về việc xử lý trạng thái vàng:
Về điều chuyển trạng thái vàng bằng 0, Ông Võ Tấn Bảo Quang – Phó Tổng Giám đốc ghi nhận ý kiến và chỉ đạo Phòng KTTC xử lý trước ngày 30/4/2026.
3. Đẩy nhanh tiến độ xử lý trạng thái vàng.
4. Xử lý trạng thái vàng: giao Chị Ngọc CFO đôn đốc HDBank, khối TCKH thực hiện hạch toán trước 30/6/2026</t>
  </si>
  <si>
    <t>Kỳ họp ngày 16/03/2026
Kỳ họp ngày 20/4/2026
Kỳ họp ngày 13/6/2026
Kỳ họp ngày 27/6/2026</t>
  </si>
  <si>
    <t>trước ngày 30/6/2026</t>
  </si>
  <si>
    <t>Chị Quyên đã xem số liệu- đưa giải pháp và đề nghị nên hỏi Vụ TCKT trước khi thực hiện. P.KTTC đã gởi VB hỏi NHNN-Vụ TCKT ( 1414/2026/BC-TGD ngày 08/07/2026)
Vụ TCKT đã có cán bộ tiếp nhận (a.Nghĩa), cán bộ phụ trách đã có liên hệ P.KTTC để tìm hiểu thêm thông tin</t>
  </si>
  <si>
    <t>DIR-5409F18A4936</t>
  </si>
  <si>
    <t>1. Về tiêu chí nâng cấp PGD đặc thù: Linh động 2 bộ tiêu chí bao gồm tiêu chí hiện hữu và tiêu chí cho PGD mới đưa vào hoạt động có thế mạnh về địa điểm, mặt bằng, kỳ vọng tăng trưởng để nâng PGD đặc thù ngay từ đầu
2. Đối với Quy định nâng cấp Phòng Giao dịch Đặc thù: Giao Khối Tài chính Kế hoạch khẩn trương hoàn thiện Quy định và trình Ban Điều hành xem xét phê duyệt. Hoàn thành ngày 16/4/2026
3. Về Quy định nâng cấp PGD đặc thù
Giao Khối TCKH khẩn trương xây dựng, ban hành quy định/quy trình nâng cấp PGD đặc thù để triển khai thống nhất trên toàn hệ thống; nghiên cứu đầy đủ các trường hợp áp dụng, nguyên tắc đánh giá và cơ chế triển khai phù hợp theo từng trường hợp có thể phát sinh. Ban Điều hành có thể xem xét các PGD đạt được 80-85% điểm nâng cấp theo quy định thì nâng lên PGD đặc thù, tạo động lực cho Đơn vị hoạt động kinh doanh, theo định hướng của Lãnh đạo cấp cao… Đồng thời, tham khảo thêm cơ chế thực hiện của HDBank để xây dựng phương án phù hợp cho Vikki Bank.
Khối TCKH chủ trì tổ chức họp chuyên đề để thống nhất nguyên tắc chung trước khi hoàn thiện văn bản chính thức trong tuần trước ngày 30/5/2026</t>
  </si>
  <si>
    <t>Kỳ họp ngày 03/10/2025
Kỳ họp ngày 23/03/2026
Kỳ họp ngày 28/03/2026
Kỳ họp ngày 13/4/2026
Kỳ họp ngày 25/5/2026</t>
  </si>
  <si>
    <t>ngày 30/5/2026</t>
  </si>
  <si>
    <t>Khối TCKH đang hoàn chỉnh dự thảo trước khi gửi ý kiến đến các GĐKV và các đơn vị Hội sở có liên quan để góp ý, thống nhất để trình đến TGĐ.
Hiện đã gửi lấy ý kiến (lần 2), đang trong quá trình hoàn thiện dự thảo Quy định, phản hồi góp ý theo yêu cầu và gửi lãnh đạo phòng xem/điều chỉnh trước khi phản hồi cho các GĐKV và các khối liên quan. Dự kiến hoàn thành trước 30/5/2026.
_ Cập nhật tiền độ đến ngày 28/05/2026: đã hoàn thiện và đang chờ setup cuộc họp từ TGĐ
_ Cập nhật tiến độ xử lý ngày 03/6/2026: K.TCKH đã tham gia họp với Tổng Giám đốc và các Lãnh đạo đạo khu vực. Sau cuộc họp, K.TCKH đang điều chỉnh quy định theo chỉ đạo từ Tổng Giám đốc
_ Cập nhật tiến độ xử lý ngày 11/06/2026: K.TCKH đã hoàn thiện xong tờ trình và trình ký Lãnh đạo Khối trước khi trình TGĐ
_ Cập nhật tiến độ xử lý ngày 18/06/2026: K.TCKH đang chỉnh sửa lại tờ trình theo chỉ đạo của Lãnh đạo Khối trước khi trình TGĐ
_ Cập nhật tiến độ đến 09/7/2026: Đang gửi quy định Về nâng cấp PGD đặc thù cho các khối góp ý lần 2
_ Cập nhật tiến độ đến 23/7/2026: Quy định đã được trình đến Tổng Giám đốc
_ Cập nhật tiến độ đến 29/7/2026: TGĐ tổ chức họp lại với các giám đốc KV và Ban Điều hành về những tiêu chí trong quy định, căn cứ cuộc họp phòng BCTH&amp;ALM đang rà soát và cập nhật
_ Cập nhật tiến độ đến 06/8/2026: Đang trong quá trình dự thảo lại
_ Cập nhật tiến độ đến 10/9/2026: hiện Khối TCKH dự thảo trước Báo cáo số 86/BC-TCKH ngày 07/9/2026 V/v đánh giá hoạt động và đề xuất nâng cấp PGD đặc thù, hiện đang trình Chủ tịch HĐTV và Tổng Giám đốc</t>
  </si>
  <si>
    <t>DIR-3C4A949B88AE</t>
  </si>
  <si>
    <t>Khối Tài chính kế hoạch phối hợp Ngân hàng bán lẻ đề xuất chỉ tiêu kinh doanh cho các điểm giao dịch mở mới,mục tiêu sớm đạt được điểm hòa vốn</t>
  </si>
  <si>
    <t>Thủ tục mở 25 điểm mới vẫn đang chờ NHNN phê duyệt. Khi các điểm này khai trương, khối TCKH sẽ thực hiện giao chỉ tiêu đảm bảo đơn vị sớm đạt điểm hòa vốn chậm nhất năm thứ 2 hoạt động.
_ Thủ tục mở mới 25 điểm giao dịch đã được NHNN phê duyệt. Ngày 10/8/2026 Khối TCKH đã hiện bảng dự toán điểm hòa vốn cho 25 điểm mở mới gửi cho Khối QLKPP&amp;TN</t>
  </si>
  <si>
    <t>DIR-D15AC7ECAB6C</t>
  </si>
  <si>
    <t>Về chế độ công tác phí, lưu trú đối với Ban Điều hành, Giám đốc Khu vực, Giám đốc Khối: Giao Chị Bảo Vi – Kế toán trưởng, Chị Ngọc – Giám đốc Tài chính thực hiện rà soát phối hợp cùng Phòng HCQT&amp;QLCL và Khối Nhân sự thực hiện điều chỉnh lại chế độ công tác phí, chi phí lưu trú theo tình hình thực tế, trên cơ sở tham chiếu chính sách hiện hành của Ngân hàng TMCP Phát triển TP. Hồ Chí Minh</t>
  </si>
  <si>
    <t>P.KTTC đã trình ký ban hành (đang trình HDTV và CSH do quy định có nội dung chính sách đối với Chủ tịch + thành viên HĐTV; chính sách cho Ban kiểm soát)</t>
  </si>
  <si>
    <t>DIR-4772EE11B2AE</t>
  </si>
  <si>
    <t>Xử lý khắc phục lỗi chương trình tính FTP, Trung tâm công nghệ cắt cử nhân sự tập trung phối hợp cùng ALM giải quyết dứt điểm.</t>
  </si>
  <si>
    <t>Trước ngày 19/6/2026</t>
  </si>
  <si>
    <t>Hiện ALM và KCN đang phối hợp thực hiện chỉnh sửa</t>
  </si>
  <si>
    <t>Phụ thuộc tiến độ TTCN</t>
  </si>
  <si>
    <t>DIR-DA3FD7A76589</t>
  </si>
  <si>
    <t>Trình ban hành quy định mới về công tác phí và chi tiêu nội bộ, chuẩn hóa mức chi phí đi lại và công tác phí theo thị trường và áp dụng tương đương với HDBank.</t>
  </si>
  <si>
    <t>DIR-F760DE591AE7</t>
  </si>
  <si>
    <t>Chuẩn hóa Quy định phân cấp thẩm quyền, đơn giản hóa thẩm quyền và hạn mức chi tiêu, nhằm giúp các bộ phận dễ theo dõi và là cơ sở để thiết lập các quy tắc (rules) phê duyệt tự động trên hệ thống.</t>
  </si>
  <si>
    <t>Trước ngày
15/8/2026</t>
  </si>
  <si>
    <t>CSH đề nghi rà soát của HDBank, trình đồng thời 2 bên</t>
  </si>
  <si>
    <t>DIR-F8F201D69137</t>
  </si>
  <si>
    <t>Triển khai xây dựng Kế hoạch Kinh doanh và Ngân sách năm 2027 gắn liền với chiến lược phát triển mạng lưới (trọng tâm hiện diện tại Hà Nội), danh mục sản phẩm, chỉ tiêu doanh số chi tiết và kế hoạch đầu tư công nghệ</t>
  </si>
  <si>
    <t>Trong tháng 08/2026</t>
  </si>
  <si>
    <t>- Đang thực hiện dự thảo thông báo xây dựng kế hoạch kinh doanh, ngân sách năm 2027 và phối hợp với các phòng có liên quan để thống nhất biểu mẫu. Đang phối hợp với cac khối /Ngân hàng Bán lẻ dự kiến hoàn thành 20/9/2026</t>
  </si>
  <si>
    <t>DIR-6104DEB5656E</t>
  </si>
  <si>
    <t>Hoàn thiện và trình lại Kế hoạch Ngân sách năm 2026 cho Chủ sở hữu phê duyệt để làm cơ sở cho công tác mua sắm</t>
  </si>
  <si>
    <t>Trước 20/8/2026</t>
  </si>
  <si>
    <t>Đang trình BLĐ, CSH đã duyệt kế hoạch ngân sách.</t>
  </si>
  <si>
    <t>DIR-910D43526CE7</t>
  </si>
  <si>
    <t>Khối Tài chính Kế hoạch đã hoàn thành báo cáo thực trạng và tình hình triển khai Phương án chuyển giao bắt buộc tính đến ngày 30/6/2026, gửi HDBank và Ban Kiểm soát đặc biệt. Đồng thời, Khối đang phối hợp cung cấp thông tin cho Ban dự án phương án CGBB để cập nhật, điều chỉnh Phương án chuyển giao bắt buộc, trong đó đề xuất bổ sung các cơ chế hỗ trợ đặc thù nhằm tháo gỡ khó khăn, vướng mắc, tạo điều kiện thuận lợi cho hoạt động của Ngân hàng trong quá trình thực hiện Phương án.</t>
  </si>
  <si>
    <t>DIR-5F894EFFD0A9</t>
  </si>
  <si>
    <t>K.TIN DUNG</t>
  </si>
  <si>
    <t>Xử lý dứt điểm việc xây dựng tính năng cập nhật lãi suất cho vay tự động khi đến kỳ điều chỉnh trên hệ thống FCC.</t>
  </si>
  <si>
    <t>Tính năng tạo cảnh báo nhập ngày thay đổi lãi suất trên Core FCC:
a. Hoàn tất test tính năng.
b. Gửi góp ý lần 1 “Quyết định V/v Triển khai một số tính năng liên quan đến ngày thay đổi lãi suất trên FCC”.</t>
  </si>
  <si>
    <t>DIR-4DF5D7A8C3F8</t>
  </si>
  <si>
    <t>Đối với 20 văn bản có nội dung DAB/HĐQT: Giao Ngân hàng bán lẻ, Khối Tín dụng và các Đơn vị liên quan khẩn trương xử lý, điều chỉnh các văn bản, mẫu biểu còn sử dụng nhận diện thương hiệu cũ. Hoàn thành trong tháng 6/2026</t>
  </si>
  <si>
    <t>Các mẫu biểu trên hệ thống KTD không phát sinh, đối với các văn bản khác vẫn thực hiện theo tiến độ của Tổ rà soát.</t>
  </si>
  <si>
    <t>DIR-04B2E411635D</t>
  </si>
  <si>
    <t>Chuyển giao 22 nhân sự thẩm định sang Galaxy; tổ chức phỏng vấn, đánh giá, áp dụng hệ thống lương thưởng đồng bộ theo chuẩn Galaxy; cung cấp thông tin cho người lao động.</t>
  </si>
  <si>
    <t>Khối Nhân sự sẽ trình nội dung liên quan đến nhân sự P. TĐG lên HĐTV
P. TĐG đang chờ thông tin của K. Nhân sự</t>
  </si>
  <si>
    <t>DIR-A906FDAE48E5</t>
  </si>
  <si>
    <t>Báo ngay các vướng mắc về định giá cho Thẩm định. Áp dụng mô hình định giá sơ bộ từ xa; chuẩn hóa khung giá, biểu phí giữa các đơn vị (Vietory, Galaxy). Tổ chức đào tạo nghiệp vụ cho CBNV.</t>
  </si>
  <si>
    <t>Ngày 27/8/2026: Phòng TĐG đã hợp với P. QLRR, Pháp Chế, Kế toán về tờ trình, Quyết định và các tài liệu liên quan đến mô hình TĐG. Sau khi họp xong sẽ tổng hợp tài liệu và tiến hành trình BLĐ.
Phí định giá: Đã trao đổi và yêu cầu Vietory trả lời bằng email để truyền thông.</t>
  </si>
  <si>
    <t>DIR-933B982BE506</t>
  </si>
  <si>
    <t>Tiếp tục giải ngân dư nợ tín dụng trong phạm vi room còn lại của năm, yêu cầu kiểm soát chặt chẽ, thận trọng đảm bảo chất lượng tín dụng. Phối hợp triển khai bán các khoản vay tự thân sang HDBank nhằm giải phóng room tín dụng cho ngân hàng</t>
  </si>
  <si>
    <t>Trong Quý 3/2026</t>
  </si>
  <si>
    <t>Đã và đang phối hợp với các phòng/ban liên quan triển khai các giải pháp bán các khoản vay tự thân sang HDB.
KTD đã trình bán gói 3k cho HDB ngày 09/9/2026, gói 5,5k đang hoàn thiện hồ sơ để trình bán.</t>
  </si>
  <si>
    <t>DIR-3C6F53B7169E</t>
  </si>
  <si>
    <t>Kiểm soát tín dụng, hoàn thiện hồ sơ sau giải ngân
Kiểm soát chất lượng tín dụng, phân bổ và sử dụng hạn mức tăng trưởng có chọn lọc; rà soát, hoàn thiện đầy đủ hồ sơ các khoản tín dụng đã giải ngân. Báo cáo các trường hợp hồ sơ còn thiếu hoặc chậm hoàn thiện.</t>
  </si>
  <si>
    <t>KTD đã và đang triển khai: Đã truyển thông nhắc nhỡ các ĐVKD và nội bộ KTD về việc nâng cao chất lượng thẩm định và phê duyệt, định giá TSBĐ,...cũng như hoàn thiện hồ sơ vay sau khi giải ngân.</t>
  </si>
  <si>
    <t>DIR-376F7B75A88A</t>
  </si>
  <si>
    <t>KTD đã và đang thực hiện chỉ đạo theo sự phân công của TGĐ.</t>
  </si>
  <si>
    <t>DIR-0A2A809FFA5B</t>
  </si>
  <si>
    <t>Tiếp đón, cung cấp hồ sơ cho Đoàn thanh tra
Phân công nhân sự đầu mối tiếp đón chu đáo và cung cấp tài liệu nghiêm túc, kịp thời cho Đoàn thanh tra; báo cáo ngay Ban điều hành khi phát sinh khó khăn, vướng mắc để xử lý. Đối với hồ sơ mua nợ, liên hệ HDBank đề nghị hỗ trợ và thống nhất nội dung giải trình, cung cấp cho Đoàn thanh tra.</t>
  </si>
  <si>
    <t>KTD đã và đang thực hiện theo sự phân công của tổ tiếp đón Thanh tra.</t>
  </si>
  <si>
    <t>DIR-8BB9965CBD56</t>
  </si>
  <si>
    <t>Hoàn thành phương án xử lý danh mục nợ qua HDBank trong tuần 07- 11/9</t>
  </si>
  <si>
    <t>Đã trình phê duyệt và trình bán nợ gói 3k cho HDB ngày 09/9/2026, gói 5,5k đang hoàn thiện hồ sơ để trình bán.</t>
  </si>
  <si>
    <t>DIR-B4BD6701D3CF</t>
  </si>
  <si>
    <t>Đã và đang phối hợp với khối QTRR triển khai thực hiện.</t>
  </si>
  <si>
    <t>DIR-A2C9A4282BE4</t>
  </si>
  <si>
    <t>Cho vay CTCK: Ưu tiên khách hàng có dòng tiền CASA ổn định và cấu trúc tài sản đảm bảo an toàn (Tiền gửi, Chứng chỉ tiền gửi). Trong điều kiện hạn mức (room) tín dụng hạn chế, ưu tiên giải ngân cho các khoản vay có biên lợi nhuận cao.</t>
  </si>
  <si>
    <t>TT TĐ&amp;PD đang trình ý kiến Biên bản họp các thành viên Hội đồng tín dụng HO (lần 2)</t>
  </si>
  <si>
    <t>DIR-81177DF8FFA3</t>
  </si>
  <si>
    <t>Trung Tâm Quản lý và Hỗ trợ tín dụng: Mô hình quản lý và hỗ trợ tín dụng tập trung
- Giao Trung Tâm QL &amp;HTTD: đầu mối phối hợp TT Công nghệ, các giám đốc khu vực đánh giá và tham mưu Ban Lãnh đạo triển khai tính năng xác thực thông tin người thụ hưởng (Đơn cử như: xác thực FaceID trên app; SMS thông báo phê duyệt; Call Center,…) và các yêu cầu khác để hạn chế rủi ro liên quan trong quá trình áp dụng mô hình này.
- Về thời điểm áp dụng: Giao Anh Toàn – Phó Tổng Giám đốc đầu mối chỉ đạo đánh giá thời điểm áp dụng hệ thống (áp dụng trước từng phần hoặc chờ core) và báo cáo BLĐ phương án thống nhất</t>
  </si>
  <si>
    <t>Kỳ họp ngày 09/8/2025</t>
  </si>
  <si>
    <t>1.Trình ký “Quy định KPIs của các Chức danh QL&amp;HTTD”.
2.Công tác giám sát nghiệp vụ QL&amp;HTTD trên toàn hệ thống Vikki Bank:
a. Đã giám sát: 39 hồ sơ.
b. Giám sát các khoản vay đến hạn điều chỉnh LS: 138 Khoản vay.</t>
  </si>
  <si>
    <t>DIR-F57198B8C0D9</t>
  </si>
  <si>
    <t>MKT&amp;PR</t>
  </si>
  <si>
    <t>Bộ phận phát triển mạng lưới phối hợp cùng phòng PR Marketing cập nhật địa chỉ các điểm kinh doanh trên Google Maps</t>
  </si>
  <si>
    <t>Phòng PR Marketing đã chủ động trong việc cập nhật thông tin 212 CN/PGD + 184 ATM lên Google Map, tiến hành cập nhật thông tin CN/PGD lên website. Các địa điểm ATM còn lại đang chờ TTT cập nhật vị trí chính xác để tiến hành xác thực.
Giai đoạn tiếp theo Phòng PR Marketing sẽ phối hợp các CN/PGD chuyển đổi địa điểm để tiến hành cập nhật thông tin chính xác địa chỉ mới.</t>
  </si>
  <si>
    <t>Thực hiện theo tiến độ chuyển đổi địa điểm của các CN/PGD trong năm 2026</t>
  </si>
  <si>
    <t>DIR-0D4B87862FD4</t>
  </si>
  <si>
    <t>Đăng ký bảo quyền sở hữu trí tuệ cho các thiết kế sản phẩm và kiến trúc dịch vụ của ngân hàng.</t>
  </si>
  <si>
    <t>Phòng MKT nhận thông tin và phối hợp với các phòng ban liên quan (Phòng Pháp chế, Phòng QLCC....) để thực hiện</t>
  </si>
  <si>
    <t>DIR-1AB878A27C8B</t>
  </si>
  <si>
    <t>Đẩy mạnh quảng bá hình ảnh mạng lưới mới nhằm tăng nhận diện thương hiệu và tạo niềm tin, thu hút khách hàng.</t>
  </si>
  <si>
    <t>Phòng MKT nhận thông tin và phối hợp với các phòng ban liên quan (QLKPP, ĐVKD...) để thực hiện</t>
  </si>
  <si>
    <t>DIR-B575F77AAEFE</t>
  </si>
  <si>
    <t>Về triển khai hợp tác với khách hàng tại Khu vực 5
Giao Ngân hàng Bán lẻ khẩn trương thúc đẩy việc ký kết và triển khai các chương trình hợp tác với các đối tác trọng điểm của Khu vực 5: Đài Truyền hình Vĩnh Long, Hội Liên hiệp Phụ nữ Việt Nam và Trường Đại học Cần Thơ. Hoàn thành trước ngày 30/4/2026</t>
  </si>
  <si>
    <t>Kỳ họp ngày 20/4/2026</t>
  </si>
  <si>
    <t>trước ngày 30/4/2026</t>
  </si>
  <si>
    <t>P.MKT - PR hoàn thiện phương án đề xuất tham gia hoạt động tài trợ.
Đề xuất tham gia tài trợ các chương trình tài chính - giải trí - chương trình hỗ trợ cộng đồng (Chuyến xe nhân ái, Thần Tài Gõ Cửa).
Gói tài trợ bao gồm:
- TVC và popup phát trong chương trình; bảng chữ tài trợ (panel 5 giây);
- Nhắc tên nhà tài trợ trong chương trình;
- Quay cận logo nhà tài trợ trên trường quay
- Logo xuất hiện ở 2 kích cỡ tùy vị trí: logo lớn (100-120cm x 70-90cm) và logo nhỏ (84-94cm x 50-64cm)</t>
  </si>
  <si>
    <t>Trước ngày 30/08/2026</t>
  </si>
  <si>
    <t>DIR-6270C2EC68B1</t>
  </si>
  <si>
    <t>Chuẩn hóa quy trình phát triển sản phẩm số
Ban TGĐ rà soát, thực hiện thống nhất quy trình phát triển SP, launching SP, không tự ý chỉnh sửa Web/ App. Hoàn thiện Designbook và Playbook; Ban lãnh đạo bắt buộc đào tạo quy trình phát triển sản phẩm số.</t>
  </si>
  <si>
    <t>Ngày 10/9/2026</t>
  </si>
  <si>
    <t>MKT &amp; PR nhận chỉ đạo và thống nhất thực hiện theo định hướng của NHBL</t>
  </si>
  <si>
    <t>DIR-610EB618E21B</t>
  </si>
  <si>
    <t>Quản lý quà tặng/hàng mẫu
Duy trì sẵn các mẫu quà tặng, sản phẩm mẫu tại Văn phòng để Lãnh đạo kiểm tra hoặc sử dụng ngay; đơn giản hóa thủ tục xét duyệt nội bộ.</t>
  </si>
  <si>
    <t>MKT&amp;PR nhận chỉ đạo và phối hợp HCQT &amp; MSTT triển khai</t>
  </si>
  <si>
    <t>DIR-80366D683E5A</t>
  </si>
  <si>
    <t>Dự án Vikki Duty Free
Đưa Vikki Duty Free vào hoạt động; tích hợp ưu đãi Vikki Bank; nghiên cứu kết hợp Duty Free – chuyển phát quốc tế thành đặc quyền cho Citizen Card.</t>
  </si>
  <si>
    <t>DIR-0954B3259BCB</t>
  </si>
  <si>
    <t>Kịch bản kinh doanh trong các kỳ nghỉ lễ dài
Xây dựng kịch bản kinh doanh, chương trình marketing, phương án tiếp cận khách hàng cho kỳ nghỉ dài. Ưu tiên hoạt động huy động vốn online, các chương trình có khả năng triển khai liên tục, thông suốt trong kỳ nghỉ.</t>
  </si>
  <si>
    <t>Từ 29/8/2026</t>
  </si>
  <si>
    <t>MKT &amp; PR luôn triển khai các hoạt động kinh doanh &amp; thương hiệu trên các kênh MXH, website, thông báo cho Điểm Giao Dịch trong các kỳ nghỉ lễ ngắn &amp; dài, bao gồm:
- Đăng nội dung thông báo TTNB gửi Điểm Giao Dịch để truyền thông cho Khách hàng kế hoạch nghỉ lễ.
- Truyền thông chào mừng các dịp lễ quan trọng
- Truyền thông các chương trình đối tác, ưu đãi dịp lễ (bán vé máy bay, vé tàu, vé xe v.v...)
- Truyền thông liên tục xuyên suốt các kỳ lễ, Tết cho các CTKM Huy động (CTKM Tiết Kiệm Vikki Trúng Ngựa Vàng Ký ( Chạy suốt Xuân Bính Ngọ))</t>
  </si>
  <si>
    <t>DIR-E060C80FE6B5</t>
  </si>
  <si>
    <t>Đồng bộ triển khai chương trình KD, marketing
Triển khai đồng bộ, đúng tiến độ các chương trình KD và marketing đã được phê duyệt; không để xảy ra tình trạng chậm trễ thủ tục hành chính, truyền thông làm ảnh hưởng đến hiệu quả chung của chương trình.</t>
  </si>
  <si>
    <t>Nhận chỉ đạo phối hợp triển khai đồng bộ cùng các chương trình kinh doanh &amp; sản phẩm.</t>
  </si>
  <si>
    <t>DIR-BF73C173692B</t>
  </si>
  <si>
    <t>Phân phối vé mời tài trợ phục vụ đối ngoại
Xác định cơ chế phân phối các sản phẩm tài trợ (bao gồm vé mời xem bóng đá, chương trình ca nhạc, giải trí) do ngân hàng tài trợ; xác định rõ nguyên tắc ưu tiên dành tặng cho các cơ quan quản lý nhà nước, đối tác chiến lược và khách hàng thân thiết</t>
  </si>
  <si>
    <t>MKT &amp; PR tiếp tục thực hiện phân phối vé cho VP BLĐ trong đó đã bao gồm các vé mời dành cho cơ quan quản lý nhà nước, đối tác chiến lược, khách hàng thân thiết.</t>
  </si>
  <si>
    <t>DIR-2968ED43D186</t>
  </si>
  <si>
    <t>Đăng ký thương hiệu, quyền sở hữu trí tuệ
Đẩy nhanh xử lý hồ sơ đăng ký bảo hộ thương hiệu, tên gọi, thiết kế SP; hoàn thiện thủ tục pháp lý chuyển giao quyền sở hữu từ các đơn vị/ đối tác thiết kế.</t>
  </si>
  <si>
    <t>Hiện tại đang vướng về quyền tác giả, đang xin ý kiến của BLĐ vào buổi họp sáng thứ 6 (11/09) để có hướng xử lý;
Về phần đăng ký nhãn hiệu đã thực hiện, đang chờ thẩm định và cấp giấy;
Đăng ký đồng phục thì đang process HĐ với Trí Việt - công ty luật</t>
  </si>
  <si>
    <t>DIR-847BDE904E35</t>
  </si>
  <si>
    <t>Trạm Công dân Số
Đã thiết kế 02 option Thẻ, đợi được duyệt mẫu Trạm để apply vảo Thẻ
Bình dân học vụ Số
Sản phẩm: mẫu Thẻ VikkiONE Connect cho ĐH Victoria Hòa Bình (&amp; các trường ĐH sắp tới): cần làm nổi bật logo của Trường hơn
Saleskit: anh Huy Phạm phụ trách kịch bản bán cụ thể cho các trường ĐH &amp; PnL, MKT sẽ follow-up cùng
Hub Giáo dục: xây dựng website/nền tảng phục vụ tra cứu thông tin, đăng ký khoá học, cấp và/hoặc xác thực và tra cứu bằng cấp/chứng chỉ, thanh toán và phát hành thẻ VikkiONE dành cho sinh viên và CBNV nhà trường
ƯU TIÊN: 02 use case ban đầu là đăng ký lớp học &amp; xác thực bằng cấp
Ban truyền thông được giao phụ trách nội dung trang tin/tin tức
Cụ thể với ĐH Hòa Bình, MKT đã làm các mẫu Thẻ cho CBNV, Sinh viên &amp; POSM, đang đợi PTKD lấy feedback từ Trường.</t>
  </si>
  <si>
    <t>DIR-43FDF2B52C69</t>
  </si>
  <si>
    <t>Đang triển khai cùng QLKPP - Kiều Hối Đông Á để chuẩn bị cho tháng 10/2026
Thiết kế thương hiệu Vikki Duty Free, Vikki Lounge</t>
  </si>
  <si>
    <t>DIR-6EA4A1EC6502</t>
  </si>
  <si>
    <t>Các chi phí về truyền thông nếu thông qua Axis chậm, Vikki Bank chủ động ký/ thanh toán trực tiếp với đối tác.</t>
  </si>
  <si>
    <t>MKT&amp;PR nhận chỉ đạo và phối hợp với các Phòng/Ban nội bộ Vikki Bank liên quan để thực hiện sớm các hạng mục công việc đang pending kịp thời triển khai các dự án</t>
  </si>
  <si>
    <t>DIR-983F524C52F1</t>
  </si>
  <si>
    <t>MKT&amp;PR nhận chỉ đạo và phối hợp với Phòng Nhân sự Vikki Bank để tuyển dụng nhân sự bổ sung vào các team cần gấp thực hiện các dự án đang triển khai</t>
  </si>
  <si>
    <t>DIR-3B387B6251ED</t>
  </si>
  <si>
    <t>Về triển khai thi đua viết thông điệp truyền thông sản phẩm và các sản phẩm khác như bộ thông điệp 100 chữ, video và bộ 8 sheet: Giao Phòng MKT&amp;PR xây dựng biểu mẫu và kịch bản cụ thể để làm định hướng cho CBNV triển khai thực hiện thống nhất trên toàn hệ thống có chất lượng giảm thời gian xét thi đua và tăng chất lượng đầu ra</t>
  </si>
  <si>
    <t>Kỳ họp ngày 25/5/2026</t>
  </si>
  <si>
    <t>DIR-2FFC253B4F14</t>
  </si>
  <si>
    <t>1.Về công tác phối hợp: Đối với các luồng email trao đổi liên quan đến Danh mục quà tặng, yêu cầu cc Tổng Giám đốc để kịp thời nắm thông tin và có chỉ đạo kịp thời.
Trong quá trình trao đổi qua email, các đơn vị cần nêu rõ nội dung cần phối hợp; các bên liên quan có trách nhiệm phản hồi đầy đủ, rõ ràng và đúng trọng tâm.
2. Về Quy định Mua sắm: trường hợp phát sinh vướng mắc hoặc nội dung cần điều chỉnh để bảo đảm công tác mua sắm được triển khai thông suốt, đề nghị các đơn vị nêu cụ thể nội dung chưa phù hợp hoặc khó triển khai tại Quy định và đề xuất phương án điều chỉnh để các bên trao đổi, thống nhất, và trình sửa đổi bổ sung.</t>
  </si>
  <si>
    <t>Kỳ họp ngày 11/03/2026</t>
  </si>
  <si>
    <t>1. Đang tiến hành phối hợp với các đơn vị liên quan để khẩn trương triển khai và chốt danh mục quà tặng 2026
2. Đã nêu rõ các khó khăn khi phối hợp với BPMS và được sự thống nhất của TGĐ trong việc bổ sung quy trình mua sắm
- Các hạng mục hiện hữu: tiếp tục thực hiện theo quy trình mua sắm
- Các hạng mục mới: BPMS giới thiệu NCC cho MKT để MKT tiến hành nhận tư vấn quy cách sản xuất, sau đó tiếp tục thực hiện theo quy trình mua sắm đã áp dụng cho các hạng mục hiện hữu</t>
  </si>
  <si>
    <t>DIR-9562EDC46832</t>
  </si>
  <si>
    <t>Về triển khai mô hình quảng cáo Loa Phường, LED tại các khu vực, Phòng MKT PR và Khối QLKPP&amp;TN lưu ý gửi cho các Khu vực khung giờ và đài/địa điểm phát loa phường để các khu vực có sự kiểm tra/nghiệm thu đối với nhà cung cấp</t>
  </si>
  <si>
    <t>Kỳ họp ngày 17/01/2026</t>
  </si>
  <si>
    <t>Đang tiến hành thực hiện triển khai Loa phường cho Tiết kiệm Vikki - Trúng Vàng Ký mùa 3. Sẽ tiếp tục cập nhật danh sách mới sau khi chốt được địa điểm với NCC</t>
  </si>
  <si>
    <t>DIR-53F86D6ED566</t>
  </si>
  <si>
    <t>Chuyển đổi Marketing theo hướng dữ liệu
- Ứng dụng Marketing Automation.
- AI phân tích hành vi khách hàng.
- Phân khúc khách hàng theo vòng đời.
- A/B testing chiến dịch hàng tháng.
- Marketing gắn chặt với KPI:
o Tăng CASA
o Tăng active user
o Tăng số lượng thẻ
Nguyên tắc: Không làm truyền thông hình thức</t>
  </si>
  <si>
    <t>Automation Marketing:
- Tờ trình đã ký xong ngày 29/04; MKT chuyển cho MSTT thực hiện
- 15/05, MSTT yêu cầu MKT điền hồ sơ chào giá để mửo thầu
- 20/05 MKT gửi lại hồ sơ chào giá để mở thầu
- Giữa tháng 6, MSTT gửi hồ sơ các NCC cho MKT
- 10/07, MKT hoàn thanh đánh giá toàn diện và gửi cho MSTT
- 22/07 MSTT cần trao đổi và có chữ ký lãnh đạo, MSTT phản hồi chưa có mẫu đánh giá.
- Đầu tháng 8, MKT gửi lại mẫu xin ý kiến MSTT. MSTT chưa phản hồi về mẫu đánh giá, MKT sẽ triển khai in ký và gửi đến MSTT trong tuần này</t>
  </si>
  <si>
    <t>DIR-3E2B0A49AE1A</t>
  </si>
  <si>
    <t>Xây dựng văn hóa thương hiệu mạnh
a. Chuẩn hóa nền tảng thương hiệu (Quý I/2026)
- Hoàn thiện Brand Book VikkiBank.
- Chuẩn hóa:
o Tính cách thương hiệu
o Ngôn ngữ giao tiếp
o Hình ảnh chi nhánh và nền tảng số
- Xây dựng hệ thống quản trị thương hiệu tập trung.
b.Mỗi nhân viên là một đại sứ thương hiệu (từ tháng 3/2026)
- 100% CBNV tham gia đào tạo thương hiệu.
- Triển khai chương trình “Every Vikki – A Brand Ambassador”.
- Mỗi nhân viên:
o Hiểu chiến lược
o Hiểu sản phẩm
o Truyền thông đúng và nhất quán
- Áp dụng KPI lan tỏa nội dung thương hiệu hàng tháng.
- Xây dựng kho nội dung chuẩn để chia sẻ nội bộ và ra thị trường.
Định hướng: Thương hiệu phải lan tỏa từ nội bộ ra bên ngoài.</t>
  </si>
  <si>
    <t>a. Chuẩn hóa nền tảng thương hiệu (Quý I/2026)
- Đang trong quá trình trao đổi đề xuất in ấn Brand Book để lưu trữ với mua sắm và chờ phản hồi của mua sắm
- Hoàn thành xây dựng chuẩn hình ảnh trong ngoài đơn vị kinh doanh và ban hành cho Xây dựng cơ bản thực hiện triển khai toàn hệ thống. Theo sát việc thi công từng đơn vị để tham vấn về mặt hình ảnh cho từng trường hợp đặc biệt để chuẩn hoá thương hiệu
- Đang xây dựng các bộ chuẩn thương hiệu cho sự kiện. Đã hoàn thành bộ booth tại đơn vị kinh doanh chuẩn và chuẩn bị thực hiện bộ chuẩn thương hiệu cho sự kiện khai trương tại đơn vị kinh doanh
- Đang tiến hành xây dựng bộ chuẩn quy cách in ấn POSM và bộ chuẩn trưng bày để ban hành cho đơn vị kinh doanh.
b.Mỗi nhân viên là một đại sứ thương hiệu (từ tháng 3/2026)
Chương trình Tôi yêu Vikki đang triển khai.
Kết hợp với đào tạo Vikki xin chào để cho CBCNV hiểu thương hiệu</t>
  </si>
  <si>
    <t>DIR-1F79B95CED3D</t>
  </si>
  <si>
    <t>Phòng Marketing&amp;PR:
Tham mưu thực hiện sản xuất phim giới thiệu về Vikki Bank, về tầm nhìn, sứ mệnh, định hướng chiến lược ,… theo hướng kể một câu chuyện về Vikki Bank</t>
  </si>
  <si>
    <t>Kỳ họp ngày 28/6/2025.</t>
  </si>
  <si>
    <t>Phòng MKT &amp; PR đã gửi email triển khai với phòng MSTT nhưng chưa nhận được phản hồi triển khai tiếp theo.
Đang tiến hành email liên lạc gửi brief
- Danh sách hiện có:
+ Cheil: không phản hồi
+ PMAX: không phản hồi
+ ICON Media: không phản hồi
+ IDCommunication: Đã trình kế hoạch, chờ trình duyệt cho madame</t>
  </si>
  <si>
    <t>DIR-5F47D1AFB824</t>
  </si>
  <si>
    <t>Phòng Marketing&amp;PR: Đối với quà tặng các chương trình thúc đẩy bán hàng:</t>
  </si>
  <si>
    <t>Kỳ họp ngày 10/7/2025
Kỳ họp ngày 01/8/2025
Kỳ họp ngày 15/8/2025
Kỳ họp ngày 30/8/2025</t>
  </si>
  <si>
    <t>Quà tặng mới:
- Danh sách 50 món quà tặng 2026: đang tiến hành với mua sắm lấy danh sách quà tặng từ NCC để thực hiện thiết kế nhận diện thương hiệu
- Balo trẻ em: đã có đánh giá mẫu các NCC
- Mũ bảo hiểm trẻ em: đã duyệt mẫu
- Áo mưa trẻ em: đã duyệt mẫu
- Thiết kế sổ sinh viên: Đã sản xuất xong
- Bộ quà tặng ấm trà: Đang tiến hành làm mẫu với Minh Long
Ấn phẩm khác:
- Hộp khăn giấy: đang tiến hành làm mẫu</t>
  </si>
  <si>
    <t>DIR-AA2AA11EC257</t>
  </si>
  <si>
    <t>Phòng Marketing&amp;PR: Kế hoạch và chiến lược kinh doanh thẻ, PR&amp;MKT chủ động chuẩn bị công tác truyền thông và các GĐKV sẵn sàng kế hoạch kinh doanh, bán hàng khi sản phẩm chính thức ra mắt</t>
  </si>
  <si>
    <t>Kỳ họp ngày 11/10/2025</t>
  </si>
  <si>
    <t>Triển khai thực hiện xuyên suốt theo tiến độ phát triển sản phẩm thẻ từ bộ phận chuyên môn để chuẩn bị kế hoạch truyền thông</t>
  </si>
  <si>
    <t>DIR-2AF882E523A6</t>
  </si>
  <si>
    <t>Phòng Marketing và PR:
- Giao nhiệm vụ Phòng Marketing &amp; PR phối hợp TT KHCN SME và các đơn vị liên quan đưa các sản phẩm hiện hữu của Vikki Bank lên website và đưa website của Vikki Bank thành một kênh bán hàng hiệu quả.
- Ngân hàng bán lẻ chú trọng mảng kinh doanh trên Website Vikki</t>
  </si>
  <si>
    <t>kỳ họp ngày 13/12/2025
Kỳ họp ngày 10/01/2026</t>
  </si>
  <si>
    <t>Đã bắt đầu thực hiện ngay khi nhận chỉ đạo vào 15/12/2025:
- Ngắn hạn: Thực hiện bán hàng (Ưu tiên: (1) Sản phẩm tài chính để lại lead, nhận tư vấn thẻ tín dụng, thẻ prepaid, mở sổ, vay &amp; merchandise (2) Trong hệ thống BUs như voucher, ưu đãi; (3) Sản phẩm khác - Haravan
- Dài hạn: Digital onboarding thẻ, tiết kiệm, vay trên web
- Đang đợi chỉ đạo của anh Hải - GĐ NHBL</t>
  </si>
  <si>
    <t>DIR-9477440AFA94</t>
  </si>
  <si>
    <t>NHBL</t>
  </si>
  <si>
    <t>CHỈ ĐẠOTRỌNG TÂM</t>
  </si>
  <si>
    <t>NHBL cần thông tin các chi phí thành lập điểm giao dịch (đầu tư 1 điểm giao dịch mất bao nhiêu chi phí), chi phí nhận sự theo điểm giao dịch mới để NHBL cơ sở xác định điểm hòa vốn
Ngày 22/07/2026: NHBL chờ K.TCKH (Mr Hồ) gửi lại bảng tính toán
Ngày 10/09/2026: chờ K.TCKH (Mr Hồ) gửi lại bảng tính toán</t>
  </si>
  <si>
    <t>DIR-B565A382E991</t>
  </si>
  <si>
    <t>Về chương trình hội thảo nông nghiệp nông thôn
Giao Ngân hàng Bán lẻ rà soát lại cơ chế, quy trình triển khai hội thảo nông nghiệp nông thôn, xem xét đơn giản hóa thủ tục trình ký để Đơn vị kinh doanh chủ động triển khai chương trình hiệu quả trong phạm vi ngân sách đã được phê duyệt. Hoàn thành trước ngày 25/4/2026</t>
  </si>
  <si>
    <t>trước ngày 25/4/2026</t>
  </si>
  <si>
    <t>Đã hoàn thành dự thảo và đang trình cho LĐ NHBL.</t>
  </si>
  <si>
    <t>Ngày 30/9/2026</t>
  </si>
  <si>
    <t>DIR-353DE5B9ED93</t>
  </si>
  <si>
    <t>- Ký kết Hội Liên Hiệp Phụ Nữ VN: 23/07/2026, Hội LH Phụ nữ Trung Ương gửi dự thảo Đề án ký kết hợp tác toàn diện giữa Hội Liên hiệp Phụ nữ Việt Nam và Tập đoàn Sovico giai đoạn 2026–2030. VPLĐ đang trình CSH.
- Ký kết Đại học Cần Thơ: Hoàn thành lễ ký kết với Trường Khoa Học Tự Nhiên - ĐH Cần Thơ ngày 20/07/2026. DONE.</t>
  </si>
  <si>
    <t>DIR-19AC29A3560A</t>
  </si>
  <si>
    <t>Vay thần tốc 24h: NHBL chủ trì xử lý dứt điểm bài toán định giá tài sản; thực hiện kiểm tra thực tế (backtest) trên 50 hồ sơ hiện hữu để hoàn thiện quy trình. Yêu cầu tích hợp các tính năng bảo hiểm, chương trình khách hàng thân thiết (loyalty) và cá nhân hóa giao diện người dùng. Hoàn thiện bộ hồ sơ, quy trình và mẫu biểu để trình Hội đồng Sản phẩm (HĐSP) phê duyệt</t>
  </si>
  <si>
    <t>trước 21/5/2026</t>
  </si>
  <si>
    <t>NHBL nhận chỉ đạo và sẽ triển khai thực hiện backtest trên 50 hồ sơ để đánh giá hiệu quả của Sản phẩm.
Đã triển khai đào tạo cho các ĐVKD thuộc KV Hà Nội, KV Đà Nẵng và KV HCM (theo địa giới hành chính cũ) để triển khai pilot 50 hồ sơ.
Đang trình tờ trình triển khai pilot đến các Khối/Phòng có liên quan trước khi trình TGĐ thông qua để có cơ sở triển khai. HIện tờ trình đang ở Khối QTRR&amp;GSTT ( đã chuyển tờ trình trước lễ 02/09); sau khi khối QTRR&amp;GSTT ký sẽ trình PTGĐ phụ trách KTD-QTRR&amp;GSTT, PTGĐ phụ trách NHBL và TGĐ.</t>
  </si>
  <si>
    <t>DIR-1ABEEA7A0DB7</t>
  </si>
  <si>
    <t>Xây dựng quy trình phối hợp cầm cố sổ tiết kiệm Vikki Bank và HDBank, đảm bảo khách hàng có thể vay cầm cố sổ tiết kiệm online/offline thông suốt giữa 2 ngân hàng.</t>
  </si>
  <si>
    <t>NHBL đã phối hợp với HDB hoàn tất dự thảo -&gt; Chờ HDBank ban hành
chính sách (HDB vẫn chưa hoàn tất) -&gt; Team tiếp tục follow với HDBank và sẽ cập nhật khi có update mới</t>
  </si>
  <si>
    <t>tháng 09/2026</t>
  </si>
  <si>
    <t>DIR-FC465C4F1C7A</t>
  </si>
  <si>
    <t>- Trong danh mục 20 văn bản này, NHBL có 11 văn bản là các Biểu mẫu xuất ra từ hệ thống thuộc các nghiệp vụ của Trung tâm thẻ. (BM-THE-026,BM-THE-027, BM-THE-029, BM-THE-165, BM-THE-168, BM-THE-169, BM-THE-171, BM-THE-175, BM-THE-112, BM-THE-234, BM-KPP-071).
- TTT đã rà soát trong tổng thể tất cả tài liệu có liên quan, các biểu mẫu này hiện tại đang được đính kèm tại các Tài liệu văn bản còn hiệu lực và chỉ được sử dụng dưới dạng báo cáo/thống kê, không sử dụng ra ngoài đối với khách hàng.</t>
  </si>
  <si>
    <t>Theo tiến độ chung của tổ rà soát văn bản, deadline chung đến 21/10/2026</t>
  </si>
  <si>
    <t>DIR-3A2ED264E1F6</t>
  </si>
  <si>
    <t>Duy trì, mở rộng quy mô bán hàng qua mô hình Booth. Văn bản hóa quy định triển khai mô hình, xây dựng giải pháp hỗ trợ nhân sự trực tiếp tại điểm bán để đảm bảo hiệu quả.</t>
  </si>
  <si>
    <t>Trước ngày 10/7/2026</t>
  </si>
  <si>
    <t>NHBL đang giải trình cho LĐ, dự kiến tuần sau hoàn tất
Ngày 22/07/2026, đã xây dựng mô hình triển khai theo từng mục tiêu của điểm Booth, đang xin ý kiến chỉ đạo phê duyệt từ Ban GĐ NHBL
Ngày 30/07/2026, Dự kiến tuần sau chi tiết mô hình triển khai mô khai sau khi có ý kiến phê duyệt
Ngày 27/8/2026: Đã hoàn thành dự thảo quy trình, Ban lãnh đạo NHBL đang xem xét.
Ngày 10/9/2026: Ban lãnh đạo NHBL đang xem xét.</t>
  </si>
  <si>
    <t>Trước ngày 30/09/2026</t>
  </si>
  <si>
    <t>DIR-DC55AC6D4697</t>
  </si>
  <si>
    <t>Tổ chức họp xử lý dứt điểm các vướng mắc liên quan đến các dự án liên kết đối tác, ban hành quy định/ khung liên kết đối tác (trên cơ sở tham khảo mô hình từ HDBank).</t>
  </si>
  <si>
    <t>- NHBL đã tổ chức các cuộc họp xử lý dứt điểm các vướng mắc liên quan đến các dự án liên kết đối tác.
- Xây dựng Khung liên kết:
+ Ngày 20/8: Đang trình GĐCC NHBL.
+ Ngày 27/8: Sửa đổi điều chỉnh theo hướng dẫn GĐCC NHBL và trình lại
+ Ngày 10/9: Trình hướng dẫn điều chỉnh</t>
  </si>
  <si>
    <t>Tháng 09/2026</t>
  </si>
  <si>
    <t>DIR-22A20091AFBC</t>
  </si>
  <si>
    <t>Chuẩn hóa quy định chiết khấu bộ chứng từ và bảo lãnh doanh nghiệp trên cơ sở tham khảo sản phẩm HDBank, để thúc đẩy kinh doanh ngoại tệ và thu phí.</t>
  </si>
  <si>
    <t>Trước ngày 16/7/2026</t>
  </si>
  <si>
    <t>1. Quy định chiết khấu:
- Ngày 15/07/2026 đã gửi dự thảo cho các khối, phòng/ban góp ý
- Ngày 27/07/2026: đã tổng hợp các ý kiến của TT/Phòng ban
- Ngày 02/08/2026: gửi góp ý lần 2
- Ngày 06/08/2026: đang tổng họp ý kiến lần 2
- Ngày 20/08/2026: đang trình ký các phòng ban.
- Ngày 26/08/2026: điều chỉnh nội dung dự thảo (rà soát điều chỉnh phù hợp với QĐ HDB ban hành T08.2026), gửi phòng/ban góp ý bổ sung
- Ngày 10/09/2026: Đang xin ý kiến lãnh đạo đối với nội dung chưa thống nhất giữa ĐVST và K. Tín dụng
2. Quy định nghiệp vụ bảo lãnh (Đồng soạn thảo với K.TD):
- Ngày 06/08/2026: trình ký các TT/Phòng ban
- Ngày 20/08/2026: đang trình ký P.TGĐ PT NHBL.
- Ngày 25/08/2026: đã trình ký TGĐ
- Ngày 10/09/2026: đang trình ký HĐTV
Do dealine của yêu cầu này đang là yêu cầu dự thảo, PTSP đã làm đúng dealine, dự kiến ban hành trước ngày 30/08/2026, nhờ VPLĐ xem lại (có trao đổi với Giàu về nội dung này)</t>
  </si>
  <si>
    <t>DIR-9825B363251D</t>
  </si>
  <si>
    <t>Triển khai chương trình Booth đa năng: Lập danh mục địa điểm, xây dựng quy trình bán chéo sản phẩm (Bảo hiểm, Vé máy bay, Tour, Ngoại tệ, Dịch vụ giá trị gia tăng khác,...). Tổ chức họp liên khối để thống nhất.</t>
  </si>
  <si>
    <t>30.07.2026: NHBL đang giải trình cho LĐ, dự kiến tuần sau hoàn tất
Ngày 27/8/2026: đã trình dự thảo Lãnh đạo NHBL, dự kiến tuần sau hoàn thành
Ngày 10/9/2026: Ban lãnh đạo NHBL đang xem xét.</t>
  </si>
  <si>
    <t>Ngày 30/09/2026</t>
  </si>
  <si>
    <t>DIR-1A716A5896B7</t>
  </si>
  <si>
    <t>Ngân hàng bán lẻ làm đầu mối xây dựng quy định mua bán trái phiếu doanh nghiệp (tham khảo khung từ HDBank).</t>
  </si>
  <si>
    <t>Trước ngày 15/09/2026</t>
  </si>
  <si>
    <t>Ngày 15/07/2026 đã gửi dự thảo cho các khối, phòng/ban góp ý
Ngày 06/08/2026 đang trình ký dự thảo
Ngày 20/08/2026: đã trình các phòng ban (chỉ còn Anh Long - KDTT chưa đồng thuận ký trên dự thảo QĐ và tờ trình), đang trình dự thảo cho P.TGĐ phụ trách NHBL.
Ngày 26/08/2026: P.TGĐ phụ trách NHBL có ý kiến trình xin ý kiến QĐ này tại cuộc họp BĐH mở rộng
Ngày 11/09/2026: tổ chức cuộc họp với thành viên và trình ký dự thảo, chỉ đạo BĐH hoàn tất trước 15/09/2026</t>
  </si>
  <si>
    <t>DIR-0D4D099A90EB</t>
  </si>
  <si>
    <t>Về triển khai booth tại các Khu vực
Giao Ngân hàng bán lẻ rà soát, hoàn thiện đề xuất triển khai booth theo nhu cầu của từng Khu vực, làm rõ phương án sử dụng quà tặng,ngân sách, hiệu quả đầu tư và các chỉ tiêu KPI làm cơ sở đánh giá và báo cáo Phó Tổng Giám đốc phụ trách xem xét trước khi trình Tổng Giám đốc. Hoàn thành trước ngày 20/7/2026.</t>
  </si>
  <si>
    <t>trước ngày 20/7/2026</t>
  </si>
  <si>
    <t>Ngày 22/07 NHBL đang dự thảo về phương án mục tiêu, hướng dẫn triển khai Booth bán hàng cho ĐVKD
Ngày 27/08/2026: Đã hoàn thành dự thảo đang trình lãnh đạo NHBL xem xét, dự kiến tuần sau hoàn thành
Ngày 10/9/2026: Ban lãnh đạo NHBL đang xem xét.</t>
  </si>
  <si>
    <t>DIR-B927EB9BFD53</t>
  </si>
  <si>
    <t>Về hợp tác Tập đoàn Charm Group – Chi nhánh Bình Dương
Giao Ngân hàng Bán lẻ phối hợp với Khu vực 3 đẩy nhanh tiến độ hoàn tất các thủ tục hợp tác với Tập đoàn Charm Group, bảo đảm hoàn thành theo đúng thời hạn trước ngày 20/7/2026.</t>
  </si>
  <si>
    <t>- ĐVKD/ĐTLK đã trình chủ trương Tổng Giám đốc ngày 23/7/2026
- ĐVKD/ĐTLK cùng phối hợp thực hiện các bước tiếp theo cùng các Đơn vị liên quan: Thẩm định dự án, rà soát mẫu biểu hợp tác, ký liên kết hợp tác theo lịch làm việc cùng ĐVKD
- ĐVKD đang sắp xếp lịch site-visit dự án, CĐT; đồng thời thu thập các chứng từ/mẫu biểu từ CĐT.
- Khối Tín dụng kiến nghị đồng ý liên kết CĐT, Dự án ngày 22/8/2026.
- Gửi Dự thảo Chính sách cho vay KHCN mua dự án góp ý các Khối/Trung tâm/Phòng ban ngày 27/8/2026
- Hoàn thiện trình phê duyệt GĐCC NHBL ngày 28/8/2026
- Trình ký lãnh đạo KTD, KQLRR ngày 4/9/2026</t>
  </si>
  <si>
    <t>Ngày 21/09/2026</t>
  </si>
  <si>
    <t>DIR-7F42CCB10F25</t>
  </si>
  <si>
    <t>Về quà tặng chương trình “tiết kiệm Vikki – trúng bóng vàng ký”
Giao Ngân hàng Bán lẻ rà soát, nghiên cứu bổ sung quà tặng vật lý phù hợp với từng địa bàn, đối tượng khách hàng và cơ chế sử dụng các sản phẩm, dịch vụ nhằm nâng cao hiệu quả triển khai chương trình. Đồng thời, tổ chức cuộc họp chuyên đề để đánh giá, tháo gỡ các vướng mắc, báo cáo Tổng Giám đốc xem xét, quyết định.</t>
  </si>
  <si>
    <t>- Chương trình đã được phê duyệt ngân sách quà tặng ngay tại quầy là 5.8 tỷ với với danh mục quà đã được duyệt mẫu gồm Túi thể thao, quạt điện cầm tay, sạc dự phòng, Ly thủy tinh và Lồng đèn =&gt; Quà chưa được giao cho ĐVKD do chưa hoàn tất công tác mua sắm và sản xuất quà tặng từ phía MS (Team CSKH đã họp lại MS để chốt thời gian sản xuất, phương án xử lý vào ngày 14.07)
- 16.07 Team CSKH đã trình TGĐ phê duyệt phương án sử dụng quà tồn kho tại các ĐVKD để sử dụng trước đảm bảo nhu cầu kinh doanh trong thời gian hoàn tất mua sắm ( TGĐ đã phê duyệt ngày 21.07). 22.07 đã ban hành thông báo số 1035/2026/TB-TGĐ triển khai cho phép các ĐVKD sử dụng quà tồn tại đơn vị để triển khai chương trình.
- 05.08: Theo tiến độ do BPMS cập nhật dự kiến quà tặng sẽ phân bổ về các ĐVKD từ ngày 25.08 theo từng hạn mục.
- 25.08: Dự kiến hoàn thành có kho tất cả Quà tặng hoàn thành trước 30.09</t>
  </si>
  <si>
    <t>DIR-00B179F36230</t>
  </si>
  <si>
    <t>Chấp thuận chủ trương triển khai sản phẩm "Cho vay căn hộ nhanh" toàn quốc và mô hình "Hưu trí Hub". Hoàn thiện hồ sơ, lấy ý kiến Hội đồng sản phẩm để trình phê duyệt chính thức.</t>
  </si>
  <si>
    <t>Triển khai mô hình "Hưu trí Hub": TGĐ đã phê duyệt Tờ trình, KV đã tổ chức họp với các Khối/Phòng Ban liên quan v/v đề xuất thành lập &amp; làm việc Tiểu dự án triển khai Hub cho vay KH hưu trí.
Triển khai sản phẩm "Cho vay căn hộ nhanh": đã ban hành Thông báo số 1317/2026/TB-TGĐ ngày 27/08/2026 v/v triển khai thí điểm cho vay mua/hoàn vốn căn hộ chung cư và cho vay tiêu dùng thế chấp căn hộ chung cư tại TP.HCM</t>
  </si>
  <si>
    <t>DIR-72C8F319EF7A</t>
  </si>
  <si>
    <t>Liên quan dịch vụ phần mềm thu ngân sách nhà nươc (eTax) chi Vikki Bank</t>
  </si>
  <si>
    <t>_ Ngày 22/04/2026, Ban Mua sắm trình GĐTC phê duyệt mở chào giá với 02 nhà cung cấp FPT IS và Seatech.
_ Ngày 27/05/2026, P.PTSP NHBL đã hoàn tất đánh giá chuyên môn và đề xuất lựa chọn Seatech do đáp ứng yêu cầu nghiệp vụ, kỹ thuật và là đơn vị đang vận hành hệ thống eTax hiện hữu tại VikkiBank.
_ Ngày 09/07/2026, Ban Mua sắm có ý kiến đề nghị rà soát, đánh giá lại hồ sơ của FPT IS để làm rõ phương án triển khai trước khi trình Ban Lãnh đạo xem xét quyết định lựa chọn nhà cung cấp.
_ Ngày 30/7/2026 Vikki Bank trao đổi với đối tác để đánh giá giải pháp FPT IS.
_ Ngày 04/08/2026: BP Mua sắm đã phát hành email yêu cầu cả 2NCC tham gia chào giá: Giảm giá và Chào đúng HSCG là phương án tối ưu chi phí cho Vikkibank.
_ Ngày 12/08/2026 các đối tác chào giá gồm Seatech và FPT sẽ gửi bổ sung hồ sơ chào giá cho Ban mua sắm. Đang chờ Ban mua sắm mở hồ sơ chào thầu bổ sung của cả 2 đối tác Seatech và FPT
_ Ngày 20/08/2026: P.PTSP đã nhận được hồ sơ chào giá bổ sung/điều chỉnh từ BMS
_ Ngày 27/08/2026: PTSP phối hợp TTCN thực hiện đánh giá HSCG
_ Ngày 08/09/2026: PTSP đã gửi bản đánh giá HSCG cho TTCN góp ý và hoàn thiện</t>
  </si>
  <si>
    <t>DIR-7288BADB26A4</t>
  </si>
  <si>
    <t>Ngày 5/8 đã họp thống nhất các hạng mục công việc với các đầu mối liên quan.
20/8: Vikki Bank, GoTrust và Mastercard đã họp kế hoạch triển khai cho 6 trạm đến 30/8.
21/8: gửi 2 mẫu thẻ eCitizen cho GoTrust để làm việc với BCA.
21/8: gửi thiết kế Trạm cong dân số có hình ảnh thương hiệu của Vikki Bank
Marketing thực hiện kế hoạch truyền thông.
4/9 đã thống nhất mẫu thẻ eCitizen, Lễ ký kết mở rộng kế hoạch triển khai trạm công dân số
Đang tích hợp app Vikki với Kiosk Công dân số tại trạm và app MediPay
Tạo QR để công dân quét QR mở thẻ eCitizen tại trạm.</t>
  </si>
  <si>
    <t>DIR-EA946DCE5957</t>
  </si>
  <si>
    <t>Đã phát hành thẻ VikkiONE Connect cho hơn 6.00 CBNV của HDBank và đã giao thẻ vật lý cho CBNV.
Đã phát hành thẻ cho Vikki Bank, Axis, VikkCafe, UEF, DAMTC, VikkiS.
Thực hiện cập nhật hạn mức thẻ tín dụng cho CBNV HDBank theo chức danh.
Chương trình công dân số;
+ TTT đang phối hợp với Mastercard, C06 xây dựng trạm công dân số tại 168 điểm trạm công dân số trên cả nước.
+ Phát hành thẻ e-citizen cho người dân đến trạm công dân số trải nghiệm và đăng ký dịch vụ. Thống nhất thiết kế thẻ eCitizen
+ Xây dựng Trạm Công dân số: cung cấp thông số của máy ATM. GoTrust thực hiện đo đạc để thiết kế và xây dựng cho Trạm.
+ Về tích hợp app: FINX và GoTrust đang thực hiện.</t>
  </si>
  <si>
    <t>DIR-BA289BCF11BE</t>
  </si>
  <si>
    <t>TTT phối hợp với Mastercard để triển khai giải pháp cổng thanh toán ecom MPGS.
Đồng hành với Mastercard để triển khai giải pháp thanh toán chi trả chính sách BHXH cho người dân, giúp người dân thanh toán dịch vụ công thông qua VNEID và thanh toán phí giao thông, bệnh viện.
20/8: Vikki Bank, Gotrust và Mastercard đã họp triển khai, liên quan đến cổng thanh toán tạm thời vẫn dùng của GPay qua cổng ecom của HDbank</t>
  </si>
  <si>
    <t>DIR-4BF069FED73B</t>
  </si>
  <si>
    <t>Nội dung này Đơn vị chưa tìm được hướng triển khai. NHBL sẽ xin lịch họp Ban Điều Hành để hướng dẫn thực hiện</t>
  </si>
  <si>
    <t>DIR-FDD8F039788D</t>
  </si>
  <si>
    <t>Thiết kế gói sản phẩm đặc thù với ưu đãi lãi suất tiết kiệm và lãi suất cho vay cho khách hàng nữ giới. Tận dụng nguồn vốn xã hội để tài trợ các dự án của phụ nữ; đảm bảo quy cách đóng gói sản phẩm mang tính trân trọng cao.</t>
  </si>
  <si>
    <t>Đối với Lãi suất huy động và Lãi suất cho vay:
- Ngày 07/08/2026: đang thực hiện dự thảo Tờ trình trên cơ sở tính toán biên lợi nhuận
- Ngày 20/08/2026: hoàn thiện dự thảo Tờ trình
- Ngày 24/08/2026: gửi các Khối/Phòng liên quan (Tài chính Kế hoạch và GĐ Tài chính) góp ý Tờ trình v/v triển khai "Chương trình tăng trưởng tín dụng, đồng hành cùng Phụ nữ tài sắc” --&gt; Ngày 09/09/2026: Sau khi xin ý kiến GĐCC NHBL đã điều chỉnh và gừi lại Khối/Phòng liên quan (Tài chính Kế hoạch và GĐ Tài chính)
- Ngày 10/09/2026 trình ký HĐ ALCO qua Econtract tờ trình</t>
  </si>
  <si>
    <t>Trước ngày 18/9/2026</t>
  </si>
  <si>
    <t>DIR-DE9CDEF2F436</t>
  </si>
  <si>
    <t>- Cấp thẻ tín dụng hạn mức phê duyệt trước: TTT (cập nhật) đang trình TGĐ phê duyệt về nhân sự Hội đồng phê duyệt tín dụng, hiện đang pendding chờ TGĐ có phê duyệt cuối. Đề xuất chuyển đổi từ thẻ VikkiGO+ sang thẻ VikkiONE =&gt;Đã gửi mẫu thẻ demo nhằm thống nhất DAM về mẫu thẻ .
- Về Mở Tài khoản: cần đẩy nhanh mở TK ngoại tệ + Xây dựng SP đầu từ/ Tiết kiệm đặc thù: khởi đầu xoay quanh dòng kiều hối bằng ngoại tệ =&gt; Chuyển theo dõi ở dự án Kiều hối hạng mục số 39</t>
  </si>
  <si>
    <t>DIR-1054988CEC6D</t>
  </si>
  <si>
    <t>TTT thực hiện chỉ đạo như sau:
- Đối với Người dùng cuối: phát triển sản phẩm thẻ tương tự sản phẩm Thẻ Petrolimex 4in1 của HDBank
- Cấp thẻ doanh nghiệp cho Đại lý của Petrolimex: chính sách cấp tín dụng dành cho KHTC đã có.
Về giải pháp thanh toán: chuyển Galaxy Holding nghiên cứu, thực hiện theo chỉ đạo của Giám đốc cấp cao NHBL</t>
  </si>
  <si>
    <t>DIR-1D76B18C6F1C</t>
  </si>
  <si>
    <t>Hoàn thiện sơ đồ kiến trúc tổng thể Web/App đồng bộ với dự án Core và hệ thống vệ tinh. Tham chiếu mô hình sản phẩm của ngân hàng số Revolut và N26 để tích hợp các tính năng vay/quản lý tài chính lên Web/App giao dịch. Mọi thiết kế phải được phê duyệt chi tiết về dữ liệu, an ninh và luồng giao dịch.</t>
  </si>
  <si>
    <t>Thực hiện và báo cáo theo tiến độ dự án web/app Vikki PMO 9
=&gt; đề xuất ngưng theo dõi trên file chỉ đạo</t>
  </si>
  <si>
    <t>DIR-E897BEA38538</t>
  </si>
  <si>
    <t>Thống nhất chủ trương chuyển tài khoản sở hữu và quản lý ứng dụng Vikki – Ngân hàng số trên App Store và Google Play từ HDBank về Vikki Bank. Triển khai chiến dịch truyền thông khéo léo nhằm nâng cao tính bảo mật của tài khoản (tuyệt đối không đề cập việc thay đổi chủ sở hữu store), kết hợp chương trình tặng voucher khuyến mại để kích hoạt và chăm sóc lại nhóm 900.000 khách hàng ít hoạt động. Nghiên cứu xây dựng luồng liên kết xác thực qua ứng dụng định danh điện tử VNeID (kết nối dữ liệu C06) đối với khách hàng sử dụng iOS bị quên mật khẩu ứng dụng.</t>
  </si>
  <si>
    <t>Trước 15/8/2026</t>
  </si>
  <si>
    <t>1. Truyền thông v/v "nâng cao bảo mật":
2. Chương trình tặng voucher để kích hoạt và chăm sóc 900,000 KH ít hoạt động:
3. Xây dựng luồng liên kết xác thực qua ứng dụng định danh điện tử VNeID: Hoàn thành - đã triển khai từ 31/12/2025</t>
  </si>
  <si>
    <t>DIR-74AA7E624C6E</t>
  </si>
  <si>
    <t>Hoàn thiện, đóng gói sản phẩm và xây dựng bộ tài liệu bán hàng (Sales Kit) chính thức cho Thẻ Vikki One Connect. Thực hiện demo trực tiếp chương trình ra mắt sản phẩm trong nội bộ kỳ họp giao ban gần nhất. Thiết lập chế độ báo cáo định kỳ hàng tuần về tiến độ và kết quả triển khai</t>
  </si>
  <si>
    <t>Bộ tài liệu bán hàng đã hoàn thiện, kế hoạch rollout đã sẵn sàng.
15/8, 22/8: BDA đã trình bày với Madam, BDA đang chỉnh sửa Playbook theo chỉ đạo của Madam.
TTT và Data đã triển khai dashboard báo cáo cho Thẻ VikkiONE connect theo từng đối tác và dữ liệu cập nhật hằng ngày.</t>
  </si>
  <si>
    <t>DIR-1C043706A17C</t>
  </si>
  <si>
    <t>27</t>
  </si>
  <si>
    <t>Thiết lập kế hoạch hành động thần tốc nhằm đạt mục tiêu doanh số bảo hiểm 1.000 tỷ đồng trong 4 tháng cuối năm 2026. Rà soát, lựa chọn các sản phẩm tốt nhất trên thị trường (ưu tiên sản phẩm có yếu tố quốc tế) để đưa vào danh mục bán hàng. Đối với phân khúc khách hàng tổ chức, tập trung thuyết phục khách hàng tham gia các gói dài hạn từ 5 đến 10 năm để tạo đột phá doanh thu. Xây dựng chương trình đào tạo thực chiến, ngắn gọn, dễ tiếp thu để CBNV nhanh chóng nắm vững sản phẩm và tự tin tiếp cận thị trường.</t>
  </si>
  <si>
    <t>Trước 25/8/2026</t>
  </si>
  <si>
    <t>- Đã có trao đổi với Anh Nguyễn Hồng Sơn - PCT Tập đoàn phụ trách hoạt động bảo hiểm, thì đây là chỉ đạo cho hoạt động bảo hiểm trong tập đoàn, không phải dành riêng cho Vikki Bank.
- Vikki Bank sẽ phối hợp, thực hiện triển khai theo kế hoạch được ban lãnh đạo thông qua.</t>
  </si>
  <si>
    <t>DIR-24453D6F34D6</t>
  </si>
  <si>
    <t>28</t>
  </si>
  <si>
    <t>NHBL nhận chỉ đạo và phối hợp với với K.TD để bán các khoản tự thân sang HDB</t>
  </si>
  <si>
    <t>30/9/2026</t>
  </si>
  <si>
    <t>DIR-A2D9FBDABDA3</t>
  </si>
  <si>
    <t>29</t>
  </si>
  <si>
    <t>Hợp tác MOVI – Công nhân KCN
Tái khởi động hợp tác MOVI; xây dựng giải pháp tính/trả lương, phúc lợi cho DN, kết hợp dữ liệu dòng tiền để scoring, cấp tín dụng và bán chéo bảo hiểm.</t>
  </si>
  <si>
    <t>- NHBL đã nhận chỉ đạo và đang phối hợp thực hiện cùng Movi</t>
  </si>
  <si>
    <t>DIR-D60191C10668</t>
  </si>
  <si>
    <t>30</t>
  </si>
  <si>
    <t>27.08 họp giữa QLPP và PTSP để trao đi thống nhất về giải pháp triển khai và trách nhiệm phối hợp giữa các bên.
- 07.09 Họp với TTCN điều chỉnh lại luồng nhận quà chỉ áp dụng các ĐVKD/Hub của Vikki. TTCN + FinX đánh giá và phản hồi lại thời gian thực phản hồi các bên.</t>
  </si>
  <si>
    <t>DIR-70DA7D36D218</t>
  </si>
  <si>
    <t>31</t>
  </si>
  <si>
    <t>NHBL đang phối hợp với KQLKPP thực hiện
Ngày 07/09/2026: K.QLKPP chủ trì họp kick off tổ công tác triển khai</t>
  </si>
  <si>
    <t>DIR-0EAFE0A2D90A</t>
  </si>
  <si>
    <t>32</t>
  </si>
  <si>
    <t>Bảo hộ sở hữu trí tuệ: Đăng ký bản quyền, nhãn hiệu và bảo hộ sở hữu trí tuệ trong nước/quốc tế cho thiết kế, nhận diện thương hiệu sản phẩm, các dòng thẻ mới.</t>
  </si>
  <si>
    <t>Theo chỉ đạo, 27/8/2026 TTT, PC, Thương hiệu đã họp theo sự chủ trì của anh Toàn PTGĐ.
4/9/2026, Thương hiệu sẽ gửi báo cáo và triển khai theo chỉ đạo.</t>
  </si>
  <si>
    <t>DIR-9BD08E185DDB</t>
  </si>
  <si>
    <t>33</t>
  </si>
  <si>
    <t>NHBL (Anh Hải) đang phối hợp với KQLKPP thực hiện</t>
  </si>
  <si>
    <t>01/09/2026</t>
  </si>
  <si>
    <t>DIR-731D389D946F</t>
  </si>
  <si>
    <t>34</t>
  </si>
  <si>
    <t>NHBL nhận chỉ đạo và đưa vào hoạt động thường xuyên</t>
  </si>
  <si>
    <t>DIR-C4D5876C50CC</t>
  </si>
  <si>
    <t>35</t>
  </si>
  <si>
    <t>NHBL nhận chỉ đạo, đang cùng K.TD thực hiện rà soát, bổ sung và hoàn thiện hồ sơ</t>
  </si>
  <si>
    <t>15/09/2026</t>
  </si>
  <si>
    <t>DIR-48EEA9F5B545</t>
  </si>
  <si>
    <t>36</t>
  </si>
  <si>
    <t>Đang triển khai theo tiến độ ưu tiên:
-Mở tài khoản ngoại tệ cho người VN
-Quản lý tài khoản: lịch sử giao dịch, sao kê...
-Nhận tiền kiều hối: đi từ tài khoản của DAM tại Vikki Bank sang tài khoản ngoại tệ VikkiME
-Bán ngoại tệ ra VND
Thực hiện ưu tiên trong các squad Deposit&amp;Payment, release theo tiến độ dự kiến bàn giao UAT ngày 10/10/2026.</t>
  </si>
  <si>
    <t>10/10/2026</t>
  </si>
  <si>
    <t>DIR-A2AD4B409AD1</t>
  </si>
  <si>
    <t>39</t>
  </si>
  <si>
    <t>NHBL (Mr. Hải Bùi) đang phối hợp với FinX, DAM thực hiện, các mục tiêu hướng tới như sau:
- Ký hợp đồng lao động với toàn bộ CBNV chuyển tiền để hợp thức hoá việc cung cấp công cụ MS360 (tương tự như tại quầy), đề xuất P.NS nghiên cứu phương án để hợp thức hoá ký kết HĐLĐ.
- Đề xuất mua sắm, cung cấp máy MS360 cho toàn bộ CBNV chuyển tiền để thực hiện KYC KH trực tiếp khi gặp KH, đề xuất bộ phận mua sắm nghiên cứu phương án mua sắm sau khi được BLĐ phê duyệt.
- Tạo sẵn Tài khoản (chờ) chưa được kích hoạt cho toàn bộ tệp KH của DAM, ngay khi CBNV làm công tác chuyển tiền xác thực KYC KH theo quy trình để đảm bảo quy định của NHNN, tài khoản được active ngay. Trường hợp, KH có nhu cầu sử dụng Vikki App =&gt; hướng dẫn luồng hiện hữu. Đề xuất P.PTSP + FinX+TTCN nghiên cứu giải pháp, báo cáo BLĐ chi tiết timeline thực hiện.</t>
  </si>
  <si>
    <t>DIR-B2CBF897D3BF</t>
  </si>
  <si>
    <t>37</t>
  </si>
  <si>
    <t>Triển khai sản phẩm cho vay thanh toán học phí hệ thống trường , tích hợp gói bảo hiểm, xây dựng phương án ân hạn nợ gốc thời hạn tối đa 10 năm.</t>
  </si>
  <si>
    <t>NHBL nhận chỉ đạo và triển khai</t>
  </si>
  <si>
    <t>30/11/2026</t>
  </si>
  <si>
    <t>DIR-5A651B0DCD76</t>
  </si>
  <si>
    <t>38</t>
  </si>
  <si>
    <t>GĐ CC NHBL giao cho Chị Diệu Thảo làm đầu mối phối hợp (đã giao cho TTT nên bỏ chỉ đạo này --&gt; Chị Dương Nguyễn note nhé)</t>
  </si>
  <si>
    <t>DIR-44ED16793C04</t>
  </si>
  <si>
    <t>40</t>
  </si>
  <si>
    <t>Khôi phục vận hành hệ thống Y tế số "Việt Nam khỏe mạnh", triển khai các Hub y tế, dịch vụ bác sĩ gia đình, thành lập Ban chăm sóc sức khỏe nội bộ cho cấp quản lý khối trở lên, tích hợp các gói bảo hiểm liên kết.</t>
  </si>
  <si>
    <t>Trước ngày 10/10/2026</t>
  </si>
  <si>
    <t>Đang trong quá trình triển khai kế hoạch</t>
  </si>
  <si>
    <t>DIR-72E073E17491</t>
  </si>
  <si>
    <t>41</t>
  </si>
  <si>
    <t>Tích hợp tính năng quản lý tài sản và tư vấn tài chính cá nhân vào kế hoạch phát triển của Web và App Vikki. Chuẩn hóa thiết kế màn hình quầy của giao dịch viên đồng bộ, thông suốt và nhất quán với trải nghiệm người dùng trên Web và App Vikki.</t>
  </si>
  <si>
    <t>NHBL phối hợp với FinX thực hiện - giao Hải Ngô thực hiện</t>
  </si>
  <si>
    <t>DIR-AC76C6DDFD6E</t>
  </si>
  <si>
    <t>42</t>
  </si>
  <si>
    <t>DIR-BC8D7750BAC2</t>
  </si>
  <si>
    <t>43</t>
  </si>
  <si>
    <t>NHBL nhận chỉ đạo và thực hiện thường xuyên</t>
  </si>
  <si>
    <t>DIR-D2D7687BEF09</t>
  </si>
  <si>
    <t>44</t>
  </si>
  <si>
    <t>Phân công Mr Hải – GĐ NHBL tham gia Ban mua sắm Công nghệ, trực tiếp bám sát, giám sát chặt chẽ và đốc thúc tiến độ mua sắm công nghệ.</t>
  </si>
  <si>
    <t>NHBL (Anh Hải) đang phối hợp thực hiện</t>
  </si>
  <si>
    <t>11/09/2026</t>
  </si>
  <si>
    <t>DIR-ADFA21E11EE9</t>
  </si>
  <si>
    <t>45</t>
  </si>
  <si>
    <t>DIR-4A9515AEACE6</t>
  </si>
  <si>
    <t>Tích hợp các sản phẩm bảo hiểm vào các sản phẩm dịch vụ hiện hữu, đặc biệt là sản phẩm tín dụng, cải tiến quy trình và trải nghiệm khách hàng. Triển khai cơ chế, chính sách, chương trình đào tạo nhằm thúc đẩy đơn vị kinh doanh tăng cường bán chéo sản phẩm bảo hiểm.</t>
  </si>
  <si>
    <t>- Thực tế triển khai tại Vikki Bank:
+ Kênh offline đang triển khai các dòng sản phẩm
o Bảo hiểm Phi nhân thọ: Bảo hiểm An Tâm Tín dụng và Bảo hiểm cháy nổ (Đối tác HDI); Bảo hiểm sức khỏe và Bảo hiểm Xe ô tô (Đối tác VBI)
o Bảo hiểm Nhân thọ: Bảo hiểm Tự do An Lành - Tự do An Phúc
+ Kênh online:
o Đang triển khai bảo hiểm TNDS xe cơ giới, bảo hiểm cháy nổ (Đối tác HDI)
o Đang trình triển khai Bảo hiểm tai nạn VikkiSafe Plus (Đối tác HDI)
o Đang xây dựng: Bảo hiểm Thẻ tín dụng (chủ thẻ/giao dịch thẻ) với đối tác HDI; Bảo hiểm An tâm giao dịch + Rơi vỡ màn hình với đối tác VBI.
- Lưu ý quan trọng: Theo Khoản 5 Điều 15 trong Luật các TCTD quy định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 thuộc các "Hành vi bị nghiêm cấm".</t>
  </si>
  <si>
    <t>DIR-1FB03F6B5948</t>
  </si>
  <si>
    <t>Về ứng dụng quản trị nhân sự
Giao Khối Nhân sự phối hợp Ngân hàng Bán lẻ nghiên cứu phương án triển khai ứng dụng quản trị nhân sự nhằm số hóa công tác quản lý nhân sự, bảo đảm dữ liệu được quản lý tập trung và giảm bớt hồ sơ/giấy tờ phải xử lý, lưu trữ</t>
  </si>
  <si>
    <t>NHBL nhận chỉ đạo và phối hợp với Khối Nhân sự thực hiện khi nhận được thông tin từ Khối Nhân sự</t>
  </si>
  <si>
    <t>theo tiến độ dự án</t>
  </si>
  <si>
    <t>DIR-3046F3EB7D7E</t>
  </si>
  <si>
    <t>3.0</t>
  </si>
  <si>
    <t>TT KHCN&amp;SME: Mở rộng mạng lưới thanh toán với Mobifone và VNPT</t>
  </si>
  <si>
    <t>Kỳ họp ngày 29/11/2025</t>
  </si>
  <si>
    <t>Mobifone: Công Ty Cổ Phần Thanh Toán Số Mobifone (MDP)
- Đã hoàn thành ký kết Hợp đồng nguyên tắc với MDP
- Đã hoàn thành lên timeline kết nối cho MDP gồm các hạng mục : Từ 01/04/2026 - 30/09/2026
- Đã hoàn thành: kết nối kỹ thuật với MDP theo Master Plan; Trình đăng ký hạn mức ký quỹ với NHNN; mô tả công cụ đối soát/ tra soát giao dịch; phát triển nội bộ phía TCTV (Xây dựng các luồng xử lý giao dịch chuyển tiền tới số tài khoản); tạo các bút toán sản phẩm dịch vụ chuyển mạch điện tử; tạo tài khoản thanh toán bù trừ cho MDP; tổng hợp danh mục hồ sơ onboard tổ chức thành viên (30/07/2026), đang gởi MDP kiểm tra lại trước khi trình ký.
- Đường truyền và chữ ký số: MDP đã gởi thông tin chi tiết về yêu cầu đường truyền kết nối từ Vikki Bank đến MDP để xử lý chuyển mạch (kết nối 3 đường leased line và Trung tâm công nghệ sẽ trình chi phí kết nối đường truyền ).
- Trung tâm công nghệ đang kéo đường truyền riêng đến DR và DC cho đối tác.
- Test dịch vụ : Finx đang phối hợp nghiệp vụ test các chiều chuyển tiền từ App Vikki (luồng out going) : thực hiện fix lỗi và đưa vào công vụ đối soát đến 15/08/2026.
- Cung cấp thông tin cho MDP theo mẫu biểu PL05 để vận hành hệ thống Member Portal và PL02 bộ hồ sơ pháp lý để gia nhận Tổ chức thành viên.
- Đã hoàn thành cung cấp danh sách nhân sự Vikki Bank tham gia đào tạo MemberPortal cho MDP (dự kiến ngày 14/09/2026)
- Hoàn tất lấy ý kiến nội bộ VikkiBank về thỏa thuận thanh quyết toán bù trừ điện tử để phản hồi cho MDP (Final nội dung để trình ký).
- Tiếp tục test dịch vụ, tool đối soát , tra soát giao dịch với MDP và fix lỗi.
- Đang chuyển Pháp chế đánh giá bộ hồ sơ onboard của MDP (09/09/2026).
- Chuẩn bị tham gia đào tạo hệ thống Member Portal của MDP (14/09/2026).</t>
  </si>
  <si>
    <t>phụ thuộc tiến độ của đối tác</t>
  </si>
  <si>
    <t>4.0</t>
  </si>
  <si>
    <t>Trùng với dòng 36 --&gt; đề xuất bỏ</t>
  </si>
  <si>
    <t>5.0</t>
  </si>
  <si>
    <t>Trùng với dòng 45 --&gt; đề xuất bỏ</t>
  </si>
  <si>
    <t>DIR-C84EDFCC81E3</t>
  </si>
  <si>
    <t>P.KDTT</t>
  </si>
  <si>
    <t>Liên quan kinh doanh vàng: Giao Phòng KDTT tham khảo ý kiến của Công ty kiểm toán và trình phương án cho HĐTV đưa trạng thái vàng về bằng 0. trình trước 04/4/2026</t>
  </si>
  <si>
    <t>trước 04/4/2026</t>
  </si>
  <si>
    <t>P.KTTC đã gửi công văn kiến nghị NHNN hướng dẫn thực hiện.</t>
  </si>
  <si>
    <t>DIR-1928A791466C</t>
  </si>
  <si>
    <t>Triển khai phương án đầu tư nguồn vốn nhàn rỗi vào trái phiếu Tier 2 của các ngân hàng có lãi suất cao và các chứng chỉ tiền gửi HDBank phát hành</t>
  </si>
  <si>
    <t>Trong tháng 9, P.KDTT dự kiến thực hiện đầu tư 5.800 tỷ đồng GTCG do TCTD phát hành, thời gian thực hiện tùy thuộc vào nguồn vốn nhàn rỗi của ngân hàng và thỏa thuận với Đối tác.</t>
  </si>
  <si>
    <t>DIR-800D9B3D7FD9</t>
  </si>
  <si>
    <t>NHBL - SME đầu mối trả lời</t>
  </si>
  <si>
    <t>DIR-C606D1C650EC</t>
  </si>
  <si>
    <t>Tối ưu hóa hiệu quả sử dụng nguồn vốn nhàn rỗi và nguồn huy động tăng thêm từ nay đến cuối năm, linh hoạt các giải pháp như bán vốn cho HDBank qua thị trường 2, đầu tư trái phiếu, chứng chỉ tiền gửi, tài sản, trụ sở,…</t>
  </si>
  <si>
    <t>P.KDTT chủ động tối ưu hóa hiệu quả sử dụng nguồn vốn nhàn rỗi thông qua việc linh hoạt sử dụng các công cụ trên thị trường 2, bao gồm gửi tiền, hoán đổi ngoại tệ và đầu tư vào các tài sản sinh lời phù hợp như trái phiếu, chứng chỉ tiền gửi</t>
  </si>
  <si>
    <t>DIR-9852AE1211E5</t>
  </si>
  <si>
    <t>Phòng Kinh doanh tiền tệ bổ sung nguồn nhân lực từ các ứng viên nội bộ, đề xuất các chính sách kịp thời để đảm bảo đạt chỉ tiêu kinh doanh vốn năm 2026</t>
  </si>
  <si>
    <t>Đang tìm kiếm thêm nhân sự có kinh nghiệm từ bên ngoài và các ứng viên nội bộ.</t>
  </si>
  <si>
    <t>DIR-AAE17CC933D0</t>
  </si>
  <si>
    <t>TV BTGĐ</t>
  </si>
  <si>
    <t>Giao Ông Võ Tấn Bảo Quang – Phó Tổng Giám đốc chỉ đạo rà soát và báo cáo Tổng Giám đốc xem xét các văn bản quan trọng, cần ưu tiên rà soát, ban hành lại để nâng cao hiệu quả điều hành, giảm thiểu rủi ro trong hoạt động và đáp ứng quy định của NHNN</t>
  </si>
  <si>
    <t>Tổ Trưởng Tổ RSVB thường xuyên chỉ đạo, phân công 02 nhân sự tổ theo dõi, đôn đốc việc thực hiện của các đơn vị và có báo cáo định kỳ cho Tổng Giám đốc.</t>
  </si>
  <si>
    <t>DIR-706E67C96866</t>
  </si>
  <si>
    <t>Về công tác rà soát văn bản Vikki Bank.
Giao Ông Võ Tấn Bảo Quang – Phó Tổng Giám đốc chỉ đạo các Đơn vị có liên quan tập trung nguồn lực, ưu tiên hoàn thành dứt điểm 04 văn bản chưa tuân thủ quy định pháp luật trước ngày 26/6/2026. Đồng thời, đẩy nhanh tiến độ rà soát, hoàn thiện và trình ký các văn bản thuộc phạm vi điều chỉnh theo Thông tư 83/2025/TT-NHNN, đảm bảo hoàn thành chậm nhất ngày 25/06/2026 để đáp ứng yêu cầu tuân thủ quy định.</t>
  </si>
  <si>
    <t>Ngày 25/6/2026</t>
  </si>
  <si>
    <t>Đối với 10 văn bản chưa tuân thủ qui định pháp luật: đã hoàn thành 8/10 văn bản, trong đó:
+ Phòng KDTT: đã hoàn thành 4/4 văn bản
+ Khối Tín dụng: đã hoàn thành 2/2 văn bản
+ Khối QLKPP &amp; TN: đã hoàn thành 1/1 văn bản
+ Ban Xử lý nợ: đang gửi góp ý 01 văn bản
+ Ngân hàng Bán lẻ: đã hoàn thành 1/2 văn bản (01 văn bản chưa hoàn thành, tuy nhiên đơn vị đã bổ sung Quyết định số 2620/2026/QĐ-TGĐ để đáp ứng quy định pháp luật)
(không thay đổi so với tuần trước, Ban XLN, NHBL vẫn chưa hoàn thành)</t>
  </si>
  <si>
    <t>DIR-C2239D926543</t>
  </si>
  <si>
    <t>DIR-8428B5A6460C</t>
  </si>
  <si>
    <t>Khởi động chương trình tài trợ vốn các dự án trọng điểm, cấp bách, tận dụng cơ chế đặc thù cho phép mức tài trợ lên tới 52% vốn tự có và loại trừ khỏi room tăng trưởng tín dụng.</t>
  </si>
  <si>
    <t>DIR-734DE5FD5F18</t>
  </si>
  <si>
    <t>VP</t>
  </si>
  <si>
    <t>Đã trao đổi và thống nhất phối hợp cùng Phòng HCQT&amp;QLCL</t>
  </si>
  <si>
    <t>DIR-2CD4404AE463</t>
  </si>
  <si>
    <t>Visa công tác Ban Lãnh đạo
Làm visa multiple-entry cho HĐTV và Ban TGĐ tại các thị trường trọng điểm: Schengen, Trung Quốc, Hàn Quốc và các quốc gia thường xuyên công tác.</t>
  </si>
  <si>
    <t>Ngày 15/9/2026</t>
  </si>
  <si>
    <t>Đã tìm các công ty dịch vụ để thực hiện công việc.</t>
  </si>
  <si>
    <t>DIR-6C9BD4210542</t>
  </si>
  <si>
    <t>Ban hành quyết định 4211 /2026/QĐ-TGĐ ngày 03/9/2026</t>
  </si>
  <si>
    <t>DIR-1E9A8A716D90</t>
  </si>
  <si>
    <t>Thành lập Ban Phát triển Sản phẩm
Thành lập Ban PTSP liên phòng ban gồm Sản phẩm, QTRR, Pháp chế, PR &amp; Marketing, Mua sắm, Đào tạo; Ban chịu trách nhiệm xuyên suốt từ ý tưởng – thử nghiệm – phê duyệt – đóng gói – launching. Áp dụng các Squad tương tự cho dự án Core và Citizen Card.</t>
  </si>
  <si>
    <t>Ngày 28/8/2026</t>
  </si>
  <si>
    <t>DIR-F67BABFD43BB</t>
  </si>
  <si>
    <t>Bổ sung báo cáo tiến độ Core T24 vào Agenda họp giao ban hàng tuần</t>
  </si>
  <si>
    <t>Văn phòng nhận chỉ đạo và thực hiện</t>
  </si>
  <si>
    <t>DIR-4E75EEA240B9</t>
  </si>
  <si>
    <t>Xây dựng phương án di dời địa điểm làm việc mới về tòa nhà Marina.</t>
  </si>
  <si>
    <t>DIR-2273C0D076B4</t>
  </si>
  <si>
    <t>Thống nhất Vikki Bank làm chủ thể tài trợ/lead dự án chính, phối hợp với GoTrust/Mastercard/C06. Hỗ trợ tối ưu, hoàn thiện mẫu của dự án này để mang tới trình diễn tại sự kiện ngày 25/9/2026 (tổ chức team họp và chốt phương án thiết kế, kỹ thuật chi tiết ngay trong ngày 12/9).
Triển khai song song việc tối ưu mẫu Trạm công dân số hiện tại và phát triển mẫu module riêng của ngân hàng. Giao Văn phòng theo dõi tiến độ dự án</t>
  </si>
  <si>
    <t>Kỳ họp ngày 12/9/2026</t>
  </si>
  <si>
    <t>Trước ngày 20/9/2026</t>
  </si>
  <si>
    <t>DIR-F492B2D8239C</t>
  </si>
  <si>
    <t>Chuẩn hóa thiết kế Thẻ Giáo dục (sinh viên, nhà giáo, nhân viên): loại bỏ thông tin cá nhân chi tiết (ngày sinh, khoa) để bảo vệ dữ liệu; tinh chỉnh nhận diện thương hiệu ngân hàng hài hòa, bổ sung logo nhà trường và Bộ Giáo dục &amp; Đào tạo.</t>
  </si>
  <si>
    <t>Trước ngày 15/9/2026</t>
  </si>
  <si>
    <t>DIR-76472891B7A3</t>
  </si>
  <si>
    <t>Tái thiết kế bộ tài liệu bán hàng và thư ngỏ gửi các trường học, khẳng định vị thế ngân hàng đồng hành cùng chương trình Hub giáo dục của Bộ Giáo dục &amp; Đào tạo và VNID; hoàn tất quy trình phê duyệt nội bộ trước khi chào bán ra thị trường.</t>
  </si>
  <si>
    <t>Trước ngày 16/9/2026</t>
  </si>
  <si>
    <t>BDA phối hợp VTS lên MasterPlan thực hiện công việc theo công văn chỉ đạo TGĐ. Tiếp tục phối hợp VTS tinh chỉnh theo yêu cầu nghiệp vụ.
Hoàn thành tổ chức đào tạo tại Công ty Kiều Hối
Đẩy dữ liệu bảng tỷ giá Portal --&gt; VOffice (100%): hoàn tất đẩy dữ liệu từ đầu năm 2026
Triển khai tạm khóa tính năng upload trên Portal cũ để điều hướng người dungf sang Voffice: Đang soạn thảo thông báo và ban hành hướng dẫn.
Ngày 14/08/2026, ngưng chức năng upload văn bản lên portal cũ.
Ngày 17/08, thảo luận phương án thúc đẩy tự động hóa văn bản đến trên VOffice. Đang soạn thảo tờ trình về những phương án phù hợp.
Ngày 19/08, trình ký thông báo ngưng chức năng upload văn bản lên portal cũ để chuyển sang hệ thống mới.
Ngày 20/08, thảo luận ý kiến về những vấn đề về việc ban hành và công khai văn bản trên hệ thống V-Office của ngân hàng.
Ngày 24/08, tập trung thảo luận vấn đề về các Module văn bản trên VOffice.
Ngày 25/08, kỹ thuật VTS và FinOS thảo luận để triển khai tích hợp chữ ký số FinOS vào VOffice.
Ngày 07/09, thảo luận, kiểm thử và góp ý để hoàn thiện tính năng văn bản đi của VOffice.
Thảo luận với các bên để hoàn thành biên bản xác nhận hoàn thành công việc của VTS.
Đánh giá biên bản hoàn thành công việc PL01, 02, 03, 04 từ VTS
Triển khai xây luồng VB chính sách theo mô tả QLCL
Thêm/ loại bỏ/ chỉnh sửa cấu hình, chức năng trên VOffice liên quan đến thu hồi văn bản ban hành, tinh giản biều đồ xử lý, chức năng kiểm soát ban hành, đối chiếu dữ liệu sổ Văn phòng, etc.</t>
  </si>
  <si>
    <t>TTCN nhận chỉ đạo từ NHBL từ ngày 02/7/2026 và đang thực hiện tìm hiểu mô hình PMO ở một số ngân hàng.
TTCN đánh giá và có báo cáo đề xuất gửi ban Lãnh đạo mô hình phù hợp vời điều kiện, nguồn lực và cơ cấu tổ chức.</t>
  </si>
  <si>
    <t>- Quy chế tổ chức và hoạt động: Đã điều chỉnh theo bút phê chỉ đạo của TGĐ và đang trình BLĐ.
- JD Ngân hàng bán lẻ: Đã ban hành chính thức theo QĐ số 3753/2026/QĐ-TGĐ ngày 12/08/2026.</t>
  </si>
  <si>
    <t>DIR-6C5F7EE1E765</t>
  </si>
  <si>
    <t>Rà soát chuẩn hóa danh bạ nhân sự dự án, thiết lập cơ chế quản lý ra/vào và thực hiện chấm công đối với đội ngũ chuyên gia tư vấn cùng cán bộ tham gia dự án Core Banking</t>
  </si>
  <si>
    <t>Từ 14/9/2026</t>
  </si>
  <si>
    <t>Đã được phê duyệt ban hành</t>
  </si>
  <si>
    <t>DIR-76942178DF2E</t>
  </si>
  <si>
    <t>Ban hành chính thức và phổ biến Chính sách lương mới cho nhân sự Vikki Bank tham gia dự án Core Banking (áp dụng hồi truy từ ngày 01/08/2026).</t>
  </si>
  <si>
    <t>Phòng Nhân sự nhận chỉ đạo và đang thực hiện</t>
  </si>
  <si>
    <t>DIR-FB405F1BA258</t>
  </si>
  <si>
    <t>Lập danh sách phân công Team Leaders cụ thể, thiết lập quy trình đánh giá nhân sự, thực hiện đánh giá KPI hàng tháng CBNV tham gia dự án Core từ tháng 9/2026.
Trên cơ sở bộ KPI chuẩn dã xây dựng, triển khai đánh giá cho CBNV toàn hệ thống từ năm 2027.</t>
  </si>
  <si>
    <t>Từ tháng 9/2026</t>
  </si>
  <si>
    <t>DIR-136D43BBB9C3</t>
  </si>
  <si>
    <t>Triển khai Vikkafe tại 25bis Nguyễn Thị Minh Khai để chủ động cung cấp đồ ăn, nước uống phục vụ cho cán bộ nhân viên và văn phòng.</t>
  </si>
  <si>
    <t>Trong tháng 9/2026</t>
  </si>
  <si>
    <t>XDCB đang triển khai khảo sát, điều chỉnh thiết kế và lập chi phí trình BLĐ phê duyệt</t>
  </si>
  <si>
    <t>Cải tạo mạng lưới toàn hệ thống: tiến độ triển khai của 237 điểm (212 điểm cải tạo + 25 điểm mở mới)
- 187 điểm: Hoàn thành bàn giao ĐVSD
- 37 điểm: Đang triển khai thi công (bao gồm 15 điểm thi công đại trà và 22 điểm mở mới)
- 07 điểm: PTML đã ký hợp đồng thuê, chờ chủ nhà cải tạo và bàn giao mặt bằng.
- 01 điểm (Phú Nhuận): đã có mặt bằng chờ đàm phán.
- 01 điểm (Đắk Nông): dừng phương án mua tài sản, triển khai tìm kiếm mặt bằng thuê di dời.
- 04 điểm (CN Quận 5, PGD Bình Minh, PGD Châu Ổ, CN Long An) đang thực hiện thủ tục pháp lý.
Dự kiến:
- 203 điểm: Hoàn thành trước ngày 30/09/2026.
- 29 điểm: Hoàn thành trước ngày 31/12/2026.
- 05 điểm còn lại: Hoàn thành trong năm 2027.</t>
  </si>
  <si>
    <t>Năm 2027</t>
  </si>
  <si>
    <t>PGD Bình Chánh- Đang triển khai thi công.
Tiến độ thi công:
- Khu giao dịch và khu văn phòng: Hoàn thành 100% đã bàn giao đưa vào sử dụng.
- Khu vực ngoài nhà: Đang triển khai thi công Khối lượng đạt 79%.
Dự kiến hoàn thành: 25/09/2026</t>
  </si>
  <si>
    <t>Tiến độ cải tạo 25 điểm mở mới tính đến ngày 17/09/206 như sau:
- 22 điểm: Đã nhận mặt bằng và đang triển khai thi công.
- 03 điểm: Đã có mặt bằng, chờ chủ nhà bàn giao mặt bằng. Dự kiến triển khai thi công và hoàn thành trước ngày 30/12/2026.</t>
  </si>
  <si>
    <t>trước ngày 30/12/2026</t>
  </si>
  <si>
    <t>1. Kế hoạch đào tạo năm 2026: Ngày 11/06/2026: BPĐT đã nhận góp ý của Viện Victoria về KH đào tạo, đã hoàn thiện nội dung theo góp ý của Viện, đang gửi các Khối nghiệp vụ HO góp ý
2. Bộ giáo án mẫu: BPĐT đang phối hợp với Viện Victoria hoàn thiện bộ giáo trình mẫu
3."Nhập ngành Ngân hàng": Đang dự thảo tờ trình và chờ Viện Victoria cung cấp báo giá
4. "Đào tạo hội nhập Vikki Bank":
- Về khung Chương trình đào tạo Hội nhập:
Ngày 16/06/2026, Bộ phận Đào tạo đã cập nhật lại Khung chương trình đã được Mdm đồng ý. Cụ thể, chương trình được cấu trúc thành 10 điểm hẹn, mỗi điểm hẹn (ĐH) tương ứng với 1 module học: ĐH1-Hội nhập; ĐH2-Trung tâm thẻ; ĐH3-Vikkafe; ĐH4-VikkStyle; ĐH5-Livestream; ĐH6-Ngân hàng Số App/Web; ĐH7-Cất cánh; ĐH8-Nhân Văn ; ĐH9-Kết nối / Hợp lực / Cùng thắng; ĐH10-Tự học / Làm mới bản thân
- Về tài liệu đào tạo Hội nhập: Tính đến 10/09/2026:
+ Các đơn vị đã gửi đầy đủ tài liệu;
+ Các nội dung chưa có đầu mối phụ trách tại Vikki Bank: Module 1 - Phần 1.5 Kiến thức nền LMS ; Module 2 - Phần 2.1 Trải nghiệm thực tế sử dụng Thẻ VikkiGO đi Metro, xe bus, taxi; Module 5 - Học cách livestream, viết content; Module 9 - Làm quen VikkBuddy (nhóm 3 người). BPĐT đã email Lãnh đạo và các đơn vị liên quan để lấy thông tin về đầu mối phụ trách nhưng chưa có kết quả.
+ BPĐT đã chuyển MKT thiết kế các tài liệu đã được cập nhật hoàn chỉnh (MKT đã hoàn tất thiết kế tài liệu)
Thời gian đào tạo: từ Quý 3/2026</t>
  </si>
  <si>
    <t>DIR-AFDD34FF08E7</t>
  </si>
  <si>
    <t>Triển khai công tác đào tạo Core T24 cho toàn hệ thống theo đúng tiến độ. Văn phòng tổng hợp các báo cáo, tài liệu đào tạo, tài liệu đào tạo và giám sát tiến độ thực hiện.</t>
  </si>
  <si>
    <t>A. Hạng mục đã hoàn thành
1. Tầng trệt 2 booth tư vấn
2. Cảnh quan- phân luồng giao thông: Cải tạo công viên khu dân cư Baoson, thi công ram dốc tại sảnh đón mới, thảm nhựa đường nội bộ khu nhà ga bason. Đường nội bộ lối ra đường Tôn Đức Thắng và cảnh quan sân vườn khu nhà xe công nghệ.
B. Hạng mục đang triển khai thi công
1B. Hạng mục Giao thông &amp; Sân vườn tại Marina: Dự kiến triển khai 21/9/2016 - Hoàn thành 14 ngày. bao gồm các hạng mục như sau:
1. TC Hoàn thiện Bãi đậu xe tạm 800m2: Sân vườn Khu Công viên Bason
2. TC Hoàn thiện Sảnh đón ""Mặt bờ sông"" (Không gồm mái đón)
3. TC Cây xanh Khu sân vườn - Marina IFC
4. TC Cây xanh Khu bờ sông 5000m2: (Đang TK concept)
2B. Sảnh chính Tầng trệt Marina:
- Chờ xin chủ trương phê duyệt thiết kế.
- Dự kiến thi công: 30 ngày kể từ ngày phê duyệt TK và bàn giao MB.
3B. Tầng 23 Văn Phòng Vikki-Marina:
- Khu giao dịch: Hoàn thành 100%. Đã bàn giao cho ĐVSD ngày 15/08/2026
- Khu văn phòng: Đang triển khai khối lượng đạt 98%. Dự kiến hoàn thành và bàn giao cho ĐVSD ngày 05/10/2026.</t>
  </si>
  <si>
    <t>Về công tác triển khai thi công 212 điểm. Đến ngày 17/09/2026 XDCB đã hoàn thành 187 điểm. Bao gồm:
- Đợt 1- 116 điểm: Hoàn thành
- Đợt 2- 96 điểm: 71/96 điểm hoàn thành. 25 điểm còn lại:
+ 15 điểm: đang triển khai thi công.
+ 04 điểm: PTML đã ký hợp đồng thuê, chờ chủ nhà cải tạo và bàn giao mặt bằng.
+ 01 điểm (Phú Nhuận): đã có mặt bằng chờ đàm phán.
+ 01 điểm (Đắk Nông): dừng phương án mua tài sản, triển khai tìm kiếm mặt bằng thuê di dời.
+ 04 điểm (CN Quận 5, PGD Bình Minh, PGD Châu Ổ, CN Long An) đang thực hiện thủ tục pháp lý.</t>
  </si>
  <si>
    <t>1. Hạng mục ngoài nhà và hệ thống kỹ thuật:
- Khung sắt giàn hoa &amp; đỡ chậu cây: 17/09 – 20/09.
- Đặt bồn &amp; trồng cây cúc tần: 21/09 – 22/09.
- Hệ thống Camera: 17/09 – 21/09.
- Xử lý mối mọt &amp; chống thấm: 18/09 – 05/10.
- Hệ thống đèn: Triển khai 17/09 – 19/09.
2. Nội thất tầng trệt &amp; sân thượng:
- Thiết kế: 11/09 – 16/09.
- Phê duyệt &amp; hoàn chỉnh thiết kế: 16/09 – 18/09.
- Sản xuất &amp; lắp đặt nội thất: 19/09 – 03/10.
- Vệ sinh, hoàn thiện bàn giao: 04/10 – 05/10.</t>
  </si>
  <si>
    <t>Hạng mục cây xanh: Tính đến ngày 17/09/2026. XDCB đã hoàn thành 149 điểm. Dự kiến hoàn thành 176 điểm trước ngày 30/09/2026. Chi tiết như sau:
Tiến độ thực hiện:
- KV HCM MT TN DNB: Hoàn thành 98/101 điểm. Đang triển khai thi công 03 điểm còn lại.
- Miền Tây: Hoàn thành 23/44 điểm. Đang triển khai thiết kế và thi công 21 điểm còn lại
- Miền Bắc: Hoàn thành 28/34 điểm. Đang triển khai thi công 06 điểm còn lại.</t>
  </si>
  <si>
    <t>12 văn bản có yếu tố vi phạm pháp luật:
i. Trong đó có 02 tài liệu của Khối QTRR&amp;GSTT đã được đánh giá lại là tuân thủ: Quy định xếp hạng tín dụng nội bộ khách hàng cá nhân, doanh nghiệp tại Dong A Bank và Quy định về hệ thống kiểm soát nội bộ tại Vikki Bank.
ii. Tiến độ của 10 tài liệu có yếu tố vi phạm pháp luật:
- Đã ban hành: 05
+ Quy định về quản lý ngoại hối đối với việc vay, trả nợ nước ngoài của doanh nghiệp (K.QLKPP&amp;TN);
+ Quy định thủ tục nhận và quản lý tài sản bảo đảm (TT QL&amp;HTTD);
+ Quy trình cấp tín dụng thẻ cho khách hàng cá nhân (NHBL);
+ Quy định mua bán nợ tại DAB
+ Quy định kinh doanh vàng tại Ngân Hàng Đông Á + Quy trình kinh doanh vàng miếng (P.KDTT);
-Hủy: 02
+ Quy trình kinh doanh sản phẩm phái sinh lãi suất;
+ Quy định kinh doanh sản phẩm phái sinh lãi suất (P.KDTT).
- Đang trình ký: 01 - Quy định mua bán nợ với công ty quản lý tài sản của các tổ chức tín dụng Việt Nam-VAMC (Ban xử lý nợ)
- Đang dự thảo/gửi góp ý: 01 - Quy định cung cấp dịch vụ chi lương
- Gộp: 01 (gộp Quy trình kinh doanh vàng miếng vật chất vào Quy định kinh doanh vàng tại Ngân Hàng Đông Á)
Có tổng cộng 70 văn bản phải rà soát theo giai đoạn 1 theo Thông tư 83 và các quy định pháp luật khác, trong đó
- Hoàn thành: 59 văn bản;
- Đang trình ký: 6 văn bản;
- Đang dự thảo, Gửi góp ý: 2 văn bản
- Đã hủy: 1 văn bản
- Chưa thực hiện: 1 văn bản
- Gộp: 1 văn bản</t>
  </si>
  <si>
    <t>Tiến độ rà soát theo Thông tư 83/2025/TT-NHNN tính đến ngày 17/9/2026:
Tổng số: 54 văn bản
- Đã hoàn thành: 47 văn bản
- Đang trình ký: 05 văn bản
- Đang dự thảo: 02 văn bản</t>
  </si>
  <si>
    <t>Khối QTRR&amp;GSTT đã cử nhân sự phối hợp với các đơn vị KTNB, KTD và HD Bank rà soát, bổ sung hồ sơ mua bán nợ phát sinh tại CN Quận 3 để phục vụ công tác thanh tra</t>
  </si>
  <si>
    <t>NHBL là đầu mối, Khối QTRR&amp;GSTT đã phối hợp thực hiện với NHBL để đồng soạn thảo, xây dựng khung tài liệu này
Ngày 15/09/2026 đơn vị đầu mối đang trình HĐTV, dự kiến ban hành sau khi được HĐTV phê duyệt</t>
  </si>
  <si>
    <t>Khối TCKH đang hoàn chỉnh dự thảo trước khi gửi ý kiến đến các GĐKV và các đơn vị Hội sở có liên quan để góp ý, thống nhất để trình đến TGĐ.
Hiện đã gửi lấy ý kiến (lần 2), đang trong quá trình hoàn thiện dự thảo Quy định, phản hồi góp ý theo yêu cầu và gửi lãnh đạo phòng xem/điều chỉnh trước khi phản hồi cho các GĐKV và các khối liên quan. Dự kiến hoàn thành trước 30/5/2026.
_ Cập nhật tiến độ đến 23/7/2026: Quy định đã được trình đến Tổng Giám đốc
_ Cập nhật tiến độ đến 29/7/2026: TGĐ tổ chức họp lại với các giám đốc KV và Ban Điều hành về những tiêu chí trong quy định, căn cứ cuộc họp phòng BCTH&amp;ALM đang rà soát và cập nhật
_ Cập nhật tiến độ đến 06/8/2026: Đang trong quá trình dự thảo lại
_ Cập nhật tiến độ đến 10/9/2026: hiện Khối TCKH dự thảo trước Báo cáo số 86/BC-TCKH ngày 07/9/2026 V/v đánh giá hoạt động và đề xuất nâng cấp PGD đặc thù, hiện đang trình Chủ tịch HĐTV và Tổng Giám đốc</t>
  </si>
  <si>
    <t>- Đang thực hiện dự thảo thông báo xây dựng kế hoạch kinh doanh, ngân sách năm 2027 và phối hợp với các phòng có liên quan để thống nhất biểu mẫu. Đang phối hợp với cac khối /Ngân hàng Bán lẻ dự kiến hoàn thành 21/9/2026</t>
  </si>
  <si>
    <t>DIR-1F9D23BD3FDC</t>
  </si>
  <si>
    <t>Dự báo kết quả kinh doanh Quý 3/2026, đồng thời xây dựng kế hoạch hành động cụ thể trong quý 4/2026, tập trung không chỉ vào số lượng mà cả chất lượng, hiệu quả và khả năng hoàn thành chỉ tiêu năm.</t>
  </si>
  <si>
    <t>Trước 18/9/2026</t>
  </si>
  <si>
    <t>Đang thực hiện Dự báo kết quả kinh doanh Quý 3/2026 và phối hợp với các khối trong việc xây dựng kế hoạch hành động cụ thể trong quý 4/2026</t>
  </si>
  <si>
    <t>- Trình ban hành “Quyết định V/v Triển khai một số tính năng liên quan đến ngày thay đổi lãi suất trên FCC” ngày 17/9/2026.
- Giám sát các khoản vay đến hạn điều chỉnh LS: 146 Khoản vay. (Lũy kế đến 17/9/2026 là 1.898 Khoản vay)</t>
  </si>
  <si>
    <t>Ngày 17/9/2026: Phòng TĐG trình góp ý tờ trình, văn bản đến các Khối/Phòng ban về mô hình chuyển đổi Thẩm định giá.</t>
  </si>
  <si>
    <t>- Đã và đang phối hợp với các phòng/ban, ĐVKD triển khai các giải pháp cấp tín dụng đảm bảo kiểm soát chặt chẽ, thận trọng chất lượng tín dụng.
- KTD đã trình bán gói 3k cho HDB ngày 17/9/2026.
- Gói 5,5k đang hoàn thiện hồ sơ để trình bán.</t>
  </si>
  <si>
    <t>- KTD đã và đang triển khai: Đã truyển thông nhắc nhỡ các ĐVKD và nội bộ KTD về việc nâng cao chất lượng thẩm định và phê duyệt, định giá TSBĐ,...cũng như hoàn thiện hồ sơ vay sau khi giải ngân.
- KTD cập nhật thường xuyên cho BLĐ các trường hợp còn thiếu hoặc chậm hoàn thiện.</t>
  </si>
  <si>
    <t>- KTD đã và đang thực hiện theo sự phân công của tổ tiếp đón Thanh tra.
- Phối hợp với ĐVKD cung cấp hồ sơ MBN, Trái phiếu cho đoàn Thanh tra theo tiến độ và đúng yêu cầu.
- Hỗ trợ ĐVKD giải trình hồ sơ cho Thanh tra.
- Thực hiện các báo cáo theo yêu cầu của các đoàn Thanh tra (Thanh tra hoạt động, TT huy động vốn, TT kho quỹ,...)</t>
  </si>
  <si>
    <t>- Đã trình phê duyệt cấp tín dụng gói 3k
- Đang trình bán nợ gói 3k đến HĐTV ngày 17/9/2026
- Gói 5,5k đang hoàn thiện hồ sơ để trình cấp tín dụng</t>
  </si>
  <si>
    <t>- Đã phối hợp với khối QTRR triển khai thực hiện.
- Đã thực hiện báo cáo Chất lượng tín dụng cho Anh Toàn - PTGĐ ngày 10/9/2026</t>
  </si>
  <si>
    <t>Ngày 17/9/2026 TT TĐ&amp;PD trình ý kiến Biên bản họp Chủ tịch Hội đồng tín dụng HO và HĐTV để ban hành QĐ CTD</t>
  </si>
  <si>
    <t>Các công tác liên quan đến việc triển khai mô hình QL&amp;HTTD tập trung:
- Trình ký “Quy định KPIs của các Chức danh QL&amp;HTTD”.
- Công tác giám sát nghiệp vụ QL&amp;HTTD trên toàn hệ thống Vikki Bank:
Đã giám sát: 18 hồ sơ.
Giám sát các khoản vay đến hạn điều chỉnh LS: 146 Khoản vay.</t>
  </si>
  <si>
    <t>Trạm Công dân Số
Đã thiết kế 02 option Thẻ, đợi được duyệt mẫu Trạm để apply vảo Thẻ
Bình dân học vụ Số
Sản phẩm: mẫu Thẻ VikkiONE Connect cho ĐH Victoria Hòa Bình (&amp; các trường ĐH sắp tới): cần làm nổi bật logo của Trường hơn cc Saleskit: mdm chỉ đạo anh Huy Phạm phụ trách kịch bản bán cụ thể cho các trường ĐH &amp; PnL, em sẽ follow-up cùng Hub Giáo dục: xây dựng website/nền tảng phục vụ tra cứu thông tin, đăng ký khoá học, cấp và/hoặc xác thực và tra cứu bằng cấp/chứng chỉ, thanh toán và phát hành thẻ VikkiONE dành cho sinh viên và CBNV nhà trường ƯU TIÊN: 02 use case ban đầu là đăng ký lớp học &amp; xác thực bằng cấp
Ban truyền thông được giao phụ trách nội dung trang tin/tin tức
Cụ thể với ĐH Hòa Bình, thì mình đã làm các mẫu Thẻ cho CBNV, Sinh viên &amp; POSM, đang đợi PTKD lấy feedback từ Trường.</t>
  </si>
  <si>
    <t>NHBL cần thông tin các chi phí thành lập điểm giao dịch (đầu tư 1 điểm giao dịch mất bao nhiêu chi phí), chi phí nhận sự theo điểm giao dịch mới để NHBL cơ sở xác định điểm hòa vốn
Ngày 22/07/2026: NHBL chờ K.TCKH (Mr Hồ) gửi lại bảng tính toán
Ngày 17/09/2026: chờ K.TCKH (Mr Hồ) gửi lại bảng tính toán</t>
  </si>
  <si>
    <t>- Ký kết Hội Liên Hiệp Phụ Nữ VN: 23/07/2026, Hội LH Phụ nữ Trung Ương gửi dự thảo Đề án ký kết hợp tác toàn diện giữa Hội Liên hiệp Phụ nữ Việt Nam và Tập đoàn Sovico giai đoạn 2026–2030. VPLĐ đang trình CSH.</t>
  </si>
  <si>
    <t>NHBL đang giải trình cho LĐ, dự kiến tuần sau hoàn tất
Ngày 22/07/2026, đã xây dựng mô hình triển khai theo từng mục tiêu của điểm Booth, đang xin ý kiến chỉ đạo phê duyệt từ Ban GĐ NHBL
Ngày 30/07/2026, Dự kiến tuần sau chi tiết mô hình triển khai mô khai sau khi có ý kiến phê duyệt
Ngày 27/8/2026: Đã hoàn thành dự thảo quy trình, Ban lãnh đạo NHBL đang xem xét.
Ngày 10/9/2026: Ban lãnh đạo NHBL đang xem xét.
Ngày 17/9/2026: Hoàn thành dự thảo, Ban lãnh đạo NHBL xem xét.</t>
  </si>
  <si>
    <t>- NHBL đã tổ chức các cuộc họp xử lý dứt điểm các vướng mắc liên quan đến các dự án liên kết đối tác.
- Xây dựng Khung liên kết:
+ Ngày 20/8: Đang trình GĐCC NHBL.
+ Ngày 27/8: Sửa đổi điều chỉnh theo hướng dẫn GĐCC NHBL và trình lại
+ Ngày 14/9: Trình hướng dẫn điều chỉnh lần 2. Sửa đổi điều chỉnh theo hướng dẫn GĐCC NHBL và trình lại.</t>
  </si>
  <si>
    <t>1. Quy định chiết khấu:
- Ngày 15/07/2026 đã gửi dự thảo cho các khối, phòng/ban góp ý
- Ngày 27/07/2026: đã tổng hợp các ý kiến của TT/Phòng ban
- Ngày 02/08/2026: gửi góp ý lần 2
- Ngày 06/08/2026: đang tổng họp ý kiến lần 2
- Ngày 20/08/2026: đang trình ký các phòng ban.
- Ngày 26/08/2026: điều chỉnh nội dung dự thảo (rà soát điều chỉnh phù hợp với QĐ HDB ban hành T08.2026), gửi phòng/ban góp ý bổ sung
- Ngày 17/09/2026: Đang xin ý kiến lãnh đạo đối với nội dung chưa thống nhất giữa ĐVST và K. Tín dụng
2. Quy định nghiệp vụ bảo lãnh (Đồng soạn thảo với K.TD):
- Ngày 06/08/2026: trình ký các TT/Phòng ban
- Ngày 20/08/2026: đang trình ký P.TGĐ PT NHBL.
- Ngày 25/08/2026: đã trình ký TGĐ
- Ngày 17/09/2026: đang trình ký HĐTV
Do dealine của yêu cầu này đang là yêu cầu dự thảo, PTSP đã làm đúng dealine, dự kiến ban hành trước ngày 30/09/2026, nhờ VPLĐ xem lại (có trao đổi với Giàu về nội dung này)</t>
  </si>
  <si>
    <t>30.07.2026: NHBL đang giải trình cho LĐ, dự kiến tuần sau hoàn tất
Ngày 27/8/2026: đã trình dự thảo Lãnh đạo NHBL, dự kiến tuần sau hoàn thành
Ngày 10/9/2026: Ban lãnh đạo NHBL đang xem xét.
Ngày 17/9/2026: Hoàn thành dự thảo, Ban lãnh đạo NHBL xem xét.</t>
  </si>
  <si>
    <t>Trước ngày 24/7/2026</t>
  </si>
  <si>
    <t>Ngày 15/07/2026 đã gửi dự thảo cho các khối, phòng/ban góp ý
Ngày 06/08/2026 đang trình ký dự thảo
Ngày 20/08/2026: đã trình các phòng ban (chỉ còn Anh Long - KDTT chưa đồng thuận ký trên dự thảo QĐ và tờ trình), đang trình dự thảo cho P.TGĐ phụ trách NHBL.
Ngày 26/08/2026: P.TGĐ phụ trách NHBL có ý kiến trình xin ý kiến QĐ này tại cuộc họp BĐH mở rộng
Ngày 11/09/2026: tổ chức cuộc họp với thành viên và trình ký dự thảo, chỉ đạo BĐH hoàn tất trước 15/09/2026
Ngày 15/09/2026: Đang trình HĐTV, dự kiến ban hành sau khi được HĐTV phê duyệt</t>
  </si>
  <si>
    <t>Ngày 22/07 NHBL đang dự thảo về phương án mục tiêu, hướng dẫn triển khai Booth bán hàng cho ĐVKD
Ngày 27/08/2026: Đã hoàn thành dự thảo đang trình lãnh đạo NHBL xem xét, dự kiến tuần sau hoàn thành
Ngày 10/9/2026: Ban lãnh đạo NHBL đang xem xét.
Ngày 17/9/2026: Hoàn thành dự thảo, Ban lãnh đạo NHBL xem xét.</t>
  </si>
  <si>
    <t>- ĐVKD/ĐTLK đã trình chủ trương Tổng Giám đốc ngày 23/7/2026
- ĐVKD/ĐTLK cùng phối hợp thực hiện các bước tiếp theo cùng các Đơn vị liên quan: Thẩm định dự án, rà soát mẫu biểu hợp tác, ký liên kết hợp tác theo lịch làm việc cùng ĐVKD
- ĐVKD đang sắp xếp lịch site-visit dự án, CĐT; đồng thời thu thập các chứng từ/mẫu biểu từ CĐT.
- Khối Tín dụng kiến nghị đồng ý liên kết CĐT, Dự án ngày 22/8/2026.
- Gửi Dự thảo Chính sách cho vay KHCN mua dự án góp ý các Khối/Trung tâm/Phòng ban ngày 27/8/2026
- Hoàn thiện trình phê duyệt GĐCC NHBL ngày 28/8/2026
- Trình ký lãnh đạo KTD, KQTRR ngày 4/9/2026.
- K.QTRR góp ý lần 1 ngày 16/9/2026. ĐTLK đã phản hồi góp ý lần 1 ngày 17/9/2026.</t>
  </si>
  <si>
    <t>Triển khai mô hình "Hưu trí Hub": TGĐ đã phê duyệt Tờ trình, KV đã tổ chức họp với các Khối/Phòng Ban liên quan v/v đề xuất thành lập &amp; làm việc Tiểu dự án triển khai Hub cho vay KH hưu trí =&gt; Phối hợp các phòng ban review các nội dung liên quan =&gt; Processing.
Triển khai sản phẩm "Cho vay căn hộ nhanh": đã ban hành Thông báo số 1317/2026/TB-TGĐ ngày 27/08/2026 v/v triển khai thí điểm cho vay mua/hoàn vốn căn hộ chung cư và cho vay tiêu dùng thế chấp căn hộ chung cư tại TP.HCM =&gt; Thực hiện Workshop Online truyền thông chương trình Cho vay căn hộ nhanh đến Trưởng Đơn Vị &amp; CBBH. =&gt; Done</t>
  </si>
  <si>
    <t>Đối với Lãi suất huy động và Lãi suất cho vay:
- Ngày 07/08/2026: đang thực hiện dự thảo Tờ trình trên cơ sở tính toán biên lợi nhuận
- Ngày 20/08/2026: hoàn thiện dự thảo Tờ trình chung tín dụng và huy động
Tín dụng
- Ngày 24/08/2026: gửi các Khối/Phòng liên quan (Tài chính Kế hoạch và GĐ Tài chính) góp ý Tờ trình v/v triển khai "Chương trình tăng trưởng tín dụng, đồng hành cùng Phụ nữ tài sắc” --&gt; Ngày 09/09/2026: Sau khi xin ý kiến GĐCC NHBL đã điều chỉnh và gừi lại Khối/Phòng liên quan (Tài chính Kế hoạch và GĐ Tài chính) --&gt; Ngày 16/09/2026, gửi xin ý kiến Khối/Phòng liên quan (Tài chính Kế hoạch và GĐ Tài chính) về việc áp dụng LSCV kỳ điều chỉnh, NHBL chủ động ban hành triển khai áp dụng LS13 hoặc LSCS theo tiến độ chuyển đổi từng thời kỳ
Huy động
- Ngày 10/09/2026 trình ký HĐ ALCO qua Econtract tờ trình</t>
  </si>
  <si>
    <t>Trước ngày 23/9/2026</t>
  </si>
  <si>
    <t>27.08 họp giữa QLPP và PTSP để trao đi thống nhất về giải pháp triển khai và trách nhiệm phối hợp giữa các bên.
- 07.09 Họp với TTCN điều chỉnh lại luồng nhận quà chỉ áp dụng các ĐVKD/Hub của Vikki. TTCN + FinX đánh giá và phản hồi lại thời gian thực phản hồi các bên.
- 14.09 TTCN gửi lại chốt lại luồng hành trình và phân công CV của các bên.</t>
  </si>
  <si>
    <t>Ngày 15/09/2026</t>
  </si>
  <si>
    <t>DIR-DD551850C97C</t>
  </si>
  <si>
    <t>Triển khai sản phẩm cho vay thanh toán học phí hệ thống trường Victoria, tích hợp gói bảo hiểm, xây dựng phương án ân hạn nợ gốc thời hạn tối đa 10 năm.</t>
  </si>
  <si>
    <t>Ngày 30/11/2026</t>
  </si>
  <si>
    <t>Ngày 10/10/2026</t>
  </si>
  <si>
    <t>NHBL đang phối hợp thực hiện</t>
  </si>
  <si>
    <t>Ngày 11/9/2026</t>
  </si>
  <si>
    <t>DIR-C16264F92759</t>
  </si>
  <si>
    <t>Duy trì chính sách lãi suất linh hoạt và nâng cao chất lượng chăm sóc khách hàng, đảm bảo chỉ tiêu huy động vốn đạt trên 500 tỷ đồng/ngày</t>
  </si>
  <si>
    <t>Tháng 9 và quý 4/2026</t>
  </si>
  <si>
    <t>Theo kế luận tại cuộc Họp alco ngày 16/09/2026: chủ trương cho NHBL đề xuất tăng +0,2-0.3% nếu mức tăng giảm dưới 350 tỷ đồng
NHBL sẽ theo dõi và thực hiện theo chỉ đạo</t>
  </si>
  <si>
    <t>DIR-E6FB2220FA0B</t>
  </si>
  <si>
    <t>1. Phương án thiết kế, kỹ thuật chi tiết Trạm CDS sự kiện 25/9:
2. Tối ưu mẫu Trạm CDS:
Các bên đã làm việc và đề xuất phương án, đang trình Madam phê duyệt phương án</t>
  </si>
  <si>
    <t>DIR-B872BFE5F967</t>
  </si>
  <si>
    <t>Cung cấp logo và học liệu của Đại học Hòa Bình/Victoria cho C06 để đăng tải lên trang web Bình dân học vụ số trong ngày 14/9; Xây dựng Website Hub Giáo dục riêng của Vikki Bank tích hợp chức năng chương trình Bình dân học vụ số.</t>
  </si>
  <si>
    <t>1. Cung cấp logo:
2. Cung cấp học liệu:
3. Đăng tải thông tin lên trang web: Bình dân học vụ số:
4. Xây dựng website Hub giáo dục:
Đang trình madam phê duyệt</t>
  </si>
  <si>
    <t>DIR-E8530D1D00BA</t>
  </si>
  <si>
    <t>46</t>
  </si>
  <si>
    <t>Rút gọn, chuẩn hóa danh mục sản phẩm Core T24, loại bỏ các cấu hình thủ công phức tạp cũ, áp dụng danh mục chuẩn theo mô hình ngân hàng hiện đại.</t>
  </si>
  <si>
    <t>Nhận chỉ đạo và chuyển BDA T24 thực hiện</t>
  </si>
  <si>
    <t>Mobifone: Công Ty Cổ Phần Thanh Toán Số Mobifone (MDP)
- Đã hoàn thành ký kết Hợp đồng nguyên tắc với MDP
- Đã hoàn thành lên timeline kết nối cho MDP gồm các hạng mục :Đã hoàn thành cung cấp danh sách nhân sự Vikki Bank tham gia đào tạo MemberPortal cho MDP (dự kiến ngày 14/09/2026)
- Hoàn tất lấy ý kiến nội bộ VikkiBank về thỏa thuận thanh quyết toán bù trừ điện tử để phản hồi cho MDP (Final nội dung để trình ký).
- Hoàn tất lấy ý kiến Pháp chế đánh giá bộ hồ sơ onboard của MDP (09/09/2026), chờ MDP xác nhận Thỏa thuận TQT Bù trừ để trình ký toàn bộ hồ sơ
- Tiếp tục test dịch vụ, tool đối soát , tra soát giao dịch với MDP và fix lỗi.
- Chuẩn bị tham gia đào tạo hệ thống Member Portal của MDP (04/10/2026).
- TTCN đang hoàn thiện hồ sơ trình mua CA theo đề xuất của MDP (theo tiến độ SIT dự án).
- Đăng ký ký quỹ với SGD NHNN: NHBL hoàn thiện tờ trình, Phòng Thanh toán thực hiện thủ tục đăng ký sau khi nghiệp vụ UAT thành công)</t>
  </si>
  <si>
    <t>DIR-66475B16E9CB</t>
  </si>
  <si>
    <t>DIR-F46C56B6C1B7</t>
  </si>
  <si>
    <t>Văn phòng ban hành văn bản bổ sung nhân sự leader dự án Core t24 của Vikki Bank
- Chính thức hóa vai trò của Mr Toàn – PTGĐ vào nhóm chỉ đạo thường trực, Mr Quốc Anh – NHBL làm team leader trực tiếp tham gia dự án.
- Bổ sung Mr Hải Ngô giữ chức vụ Phó Giám đốc Chương trình Core T24, làm đầu mối phụ trách phía Vikki Bank
- Bổ sung Mr Toàn - PTGĐ và Mr Quốc Anh - NHBL vào nhóm thường trực trực tiếp chỉ đạo và thống nhất kế hoạch đào tạo Core T24 toàn hệ thống</t>
  </si>
  <si>
    <t>DIR-E74CEB9001E7</t>
  </si>
  <si>
    <t>DIR-1CD19D60D316</t>
  </si>
  <si>
    <t>. Văn phòng Chuyển đổi (TMO) đóng vai trò đầu mối chủ trì tiếp nhận, soạn thảo và phát hành toàn bộ các văn bản, thông báo chỉ đạo của Ban Chỉ đạo Dự án Core Banking đến toàn hệ thống.</t>
  </si>
  <si>
    <t>DIR-A4E4569B221B</t>
  </si>
  <si>
    <t>DIR-159AF65FF45D</t>
  </si>
  <si>
    <t>Công tác đi Mỹ: hoàn thiện agenda, đối tác, tài liệu và các nội dung cần quyết định cho chuyến công tác Mỹ; chuẩn bị phương án hợp tác/MOU với Mastercard theo nội dung trao đổi</t>
  </si>
  <si>
    <t>STT</t>
  </si>
  <si>
    <t>Tên cột</t>
  </si>
  <si>
    <t>Thay đổi</t>
  </si>
  <si>
    <t>Quy tắc dữ liệu</t>
  </si>
  <si>
    <t>Giữ nguyên gốc</t>
  </si>
  <si>
    <t>Metric</t>
  </si>
  <si>
    <t>Value</t>
  </si>
  <si>
    <t>Source files</t>
  </si>
  <si>
    <t>Snapshots</t>
  </si>
  <si>
    <t>Rows emitted</t>
  </si>
  <si>
    <t>Stable IDs</t>
  </si>
  <si>
    <t>Rows with QC flags</t>
  </si>
  <si>
    <t>TONG sheets used</t>
  </si>
  <si>
    <t>QC flag</t>
  </si>
  <si>
    <t>Count</t>
  </si>
  <si>
    <t>Ý nghĩa / hành động rà soát</t>
  </si>
  <si>
    <t>Topic_Group chưa xác định được ranh giới cụm từ tin cậy; để trống chờ nhóm/rà soát theo quy tắc.</t>
  </si>
  <si>
    <t>STATUS_CONFLICT</t>
  </si>
  <si>
    <t>Dòng có nhiều hơn một trạng thái nguồn được đánh dấu cùng lúc.</t>
  </si>
  <si>
    <t>UNPARSED_DEADLINE</t>
  </si>
  <si>
    <t>Thời hạn (RAW) chứa mốc nhưng không phân tích được và không thuộc nhóm văn bản không có ngày.</t>
  </si>
  <si>
    <t>Dự kiến thời gian hoàn thành (RAW) chứa mốc nhưng không phân tích được và không thuộc nhóm văn bản không có ngày.</t>
  </si>
  <si>
    <t>UNPARSED_MEETING_DATE</t>
  </si>
  <si>
    <t>Kỳ họp (RAW) chứa ngày nhưng không phân tích được theo bộ quy tắc ngày.</t>
  </si>
  <si>
    <t>Mức độ tập trung</t>
  </si>
  <si>
    <t>Lý do</t>
  </si>
  <si>
    <t>Keywords</t>
  </si>
  <si>
    <t>01. Core T24 và Chuyển đổi Core Banking</t>
  </si>
  <si>
    <t>Nhóm chỉ đạo</t>
  </si>
  <si>
    <t>Trạm công dân số, Trạm CDS, Galaxy ID, Citizen Card, eCitizen, e-Citizen, GoTrust, C06, MediPay, kiosk công dân số, 168 điểm, QR mở thẻ, công dân số, VNeID, dịch vụ công</t>
  </si>
  <si>
    <t>Thẻ Giáo dục, thẻ sinh viên, thẻ nhà giáo, Hub Giáo dục, Hub giáo dục, Bình dân học vụ số, học liệu, xác thực bằng cấp, API phục vụ trường, API giáo dục, Đại học Hòa Bình, Trường Victoria, trường Victoria, UEF, vay học phí, cho vay thanh toán học phí, tài liệu bán hàng gửi trường, thư ngỏ gửi các trường</t>
  </si>
  <si>
    <t>kiều hối, DAMC, DAMTC, tài khoản ngoại tệ, tài khoản đa tiền tệ, dòng tiền nhận kiều hối, dòng vốn kiều hối, chi trả tại nhà, giao nhận tại nhà, Ban chuyên trách Kiều hối, kiều hối quốc tế, VikkiME, mở tài khoản nhận kiều hối, khách hàng nhận kiều hối</t>
  </si>
  <si>
    <t>VikkiONE Connect, Vikki One Connect, VikkiONE, Vikki Go+, VikkiGO, JCB, thẻ vạn năng, thẻ thanh toán, thẻ prepaid, thẻ tín dụng, một triệu thẻ, 1.000.000 thẻ, chất lượng thẻ tín dụng, Rule Scoring, hạn mức thẻ, hạn mức tín dụng tự động, blacklist, SkyJoy, phòng chờ sân bay, Travel Pass, hoàn tiền thanh toán hóa đơn, thanh toán hóa đơn tự động, Sales Kit thẻ, Saleskit thẻ, Playbook thẻ, Sơn Tiên, Suối Tiên, hệ thống quét điểm trò chơi</t>
  </si>
  <si>
    <t>Thứ tự ưu tiên</t>
  </si>
  <si>
    <t>Tình trạng theo dõi chuẩn hóa</t>
  </si>
  <si>
    <t>Ý nghĩa</t>
  </si>
  <si>
    <t>Lỗi: chọn nhiều trạng thái</t>
  </si>
  <si>
    <t>Có từ hai dấu X trở lên</t>
  </si>
  <si>
    <t>Đã hoàn thành</t>
  </si>
  <si>
    <t>Đơn vị đánh dấu hoàn thành</t>
  </si>
  <si>
    <t>Quá hạn, đã báo chưa hoàn thành</t>
  </si>
  <si>
    <t>Quá hạn và đơn vị đã xác nhận chưa hoàn thành</t>
  </si>
  <si>
    <t>Quá hạn nhưng báo đúng tiến độ</t>
  </si>
  <si>
    <t>Quá hạn theo ngày nhưng đơn vị vẫn đánh dấu đúng tiến độ</t>
  </si>
  <si>
    <t>Quá hạn, chưa cập nhật trạng thái</t>
  </si>
  <si>
    <t>Quá hạn nhưng không có dấu X phù hợp</t>
  </si>
  <si>
    <t>Dự kiến hoàn thành sau thời hạn</t>
  </si>
  <si>
    <t>Ngày dự kiến mới nhất muộn hơn thời hạn</t>
  </si>
  <si>
    <t>Chờ phê duyệt hoặc phụ thuộc</t>
  </si>
  <si>
    <t>Chưa quá hạn nhưng nội dung cho thấy đang chờ hoặc phụ thuộc</t>
  </si>
  <si>
    <t>Sắp đến hạn</t>
  </si>
  <si>
    <t>Còn từ 0 đến 14 ngày</t>
  </si>
  <si>
    <t>Mới giao, chưa cập nhật</t>
  </si>
  <si>
    <t>Chỉ đạo được giao trong bảy ngày gần Snapshot và chưa có tiến độ</t>
  </si>
  <si>
    <t>Không có thời hạn cụ thể</t>
  </si>
  <si>
    <t>Không xác định được ngày hết hạn</t>
  </si>
  <si>
    <t>Đang thực hiện, còn thời gian</t>
  </si>
  <si>
    <t>Trường hợp còn lại</t>
  </si>
  <si>
    <t>Chất lượng cập nhật tiến độ</t>
  </si>
  <si>
    <t>Keyword</t>
  </si>
  <si>
    <t>Khuyến nghị</t>
  </si>
  <si>
    <t>Chất lượng thông tin</t>
  </si>
  <si>
    <t>01. Không có nội dung cập nhật</t>
  </si>
  <si>
    <t>Yêu cầu cập nhật hành động đã thực hiện, đầu ra, phạm vi, phần còn lại, điểm nghẽn và mốc tiếp theo.</t>
  </si>
  <si>
    <t>02. Dữ liệu trạng thái tự mâu thuẫn</t>
  </si>
  <si>
    <t>Kiểm tra lại ba cột trạng thái, thời hạn, dự kiến hoàn thành và nội dung cập nhật trước khi sử dụng để báo cáo.</t>
  </si>
  <si>
    <t>03. Báo hoàn thành nhưng không có căn cứ kiểm chứng</t>
  </si>
  <si>
    <t>hoàn thành, đã xong, done, đã xử lý xong, đã hoàn tất</t>
  </si>
  <si>
    <t>Yêu cầu bổ sung đầu ra cụ thể, phạm vi hoàn thành, ngày hoàn thành và số hoặc nơi lưu bằng chứng.</t>
  </si>
  <si>
    <t>04. Báo hoàn thành một phần nhưng dễ gây hiểu là hoàn thành toàn bộ</t>
  </si>
  <si>
    <t>hoàn thành dự thảo, đã hoàn thiện dự thảo, hoàn thành một phần, đã hoàn thành một phần, giai đoạn 1 hoàn tất, đã hoàn thành 8/10, đã hoàn thành 47/54, còn lại, chưa hoàn tất</t>
  </si>
  <si>
    <t>Tách rõ phần đã hoàn thành và phần còn lại; không dùng kết quả một cấu phần để kết luận toàn bộ chỉ đạo.</t>
  </si>
  <si>
    <t>05. Có đầu ra trung gian nhưng chưa đạt kết quả cuối</t>
  </si>
  <si>
    <t>xây dựng dự thảo, đã gửi dự thảo, đã lập phương án, đã xây dựng mô hình, đã xây dựng khung, hoàn thành Sales Kit, hoàn thành Playbook, hoàn thành báo cáo, hoàn thiện hồ sơ để trình</t>
  </si>
  <si>
    <t>Ghi nhận sản phẩm trung gian; xác định đầu ra cuối, cấp quyết định, phần còn lại và điều kiện đóng theo dõi.</t>
  </si>
  <si>
    <t>06. Có nhiều cấu phần ở các trạng thái khác nhau</t>
  </si>
  <si>
    <t>đã hoàn thành và đang, đã ban hành và đang, đã triển khai và đang, mục 1, mục 2, mục 3, giai đoạn 1, giai đoạn 2, trong đó, một số hạng mục</t>
  </si>
  <si>
    <t>Tách trạng thái cho từng cấu phần; bổ sung kết luận tổng thể và không dùng một dấu X chung khi các cấu phần chưa cùng trạng thái.</t>
  </si>
  <si>
    <t>07. Nội dung tự phủ định hoặc không nhất quán</t>
  </si>
  <si>
    <t>hoàn thành nhưng, đã hoàn thành tuy nhiên, đúng tiến độ nhưng, done nhưng, không thay đổi so với tuần trước, vẫn chưa hoàn thành, chưa xử lý xong</t>
  </si>
  <si>
    <t>Không sử dụng kết luận tự khai. Đối chiếu ngày, trạng thái X, phạm vi chỉ đạo và bằng chứng; yêu cầu xác nhận lại một kết luận duy nhất.</t>
  </si>
  <si>
    <t>08. Không có chuyển biến so với kỳ cập nhật trước</t>
  </si>
  <si>
    <t>không thay đổi so với tuần trước, vẫn đang xem xét, vẫn chưa hoàn thành, đến nay chưa nhận, chưa có kết quả, chưa phát sinh mới, tiếp tục follow</t>
  </si>
  <si>
    <t>Xác định số ngày không chuyển biến, nguyên nhân đình trệ, cấp leo thang và mốc xử lý mới.</t>
  </si>
  <si>
    <t>09. Lặp vòng xử lý hoặc phải làm lại</t>
  </si>
  <si>
    <t>góp ý lần 2, điều chỉnh lần 2, phản hồi lần 2, trình lại, dự thảo lại, chỉnh sửa lại, gửi lại, họp lại, sửa đổi điều chỉnh, tiếp tục chỉnh sửa, edit round 2</t>
  </si>
  <si>
    <t>Làm rõ nguyên nhân bị trả lại, nội dung chưa thống nhất, số vòng xử lý, người quyết định và hạn xử lý dứt điểm.</t>
  </si>
  <si>
    <t>10. Tạm dừng hoặc chưa có hướng triển khai</t>
  </si>
  <si>
    <t>tạm dừng, dừng triển khai, chưa triển khai, chưa thực hiện, chưa bắt đầu, chưa tìm được hướng triển khai, chưa có hướng triển khai, ưu tiên nguồn lực, không tiếp tục triển khai</t>
  </si>
  <si>
    <t>Ghi rõ cấp quyết định, nguyên nhân, tác động, rủi ro tồn đọng, điều kiện và thời điểm tái khởi động.</t>
  </si>
  <si>
    <t>11. Đề nghị bỏ hoặc chuyển sang nguồn theo dõi khác</t>
  </si>
  <si>
    <t>đề xuất ngưng theo dõi, ngưng theo dõi trên file, chuyển theo dõi, theo dõi tại sheet, báo cáo theo PMO, đưa vào hoạt động thường xuyên, trùng với dòng, đề xuất bỏ</t>
  </si>
  <si>
    <t>Chỉ đóng sau khi xác nhận dòng trùng hoặc nguồn thay thế, đầu mối, phạm vi và bằng chứng bàn giao.</t>
  </si>
  <si>
    <t>12. Đơn vị cho rằng nội dung không thuộc phạm vi thực hiện</t>
  </si>
  <si>
    <t>không phải dành riêng, không thuộc phạm vi, chuyển khối khác báo cáo, chuyển đơn vị khác báo cáo, không thuộc trách nhiệm</t>
  </si>
  <si>
    <t>Yêu cầu cấp giao chỉ đạo xác nhận lại phạm vi, đầu mối chịu trách nhiệm và quyết định tiếp tục hay đóng theo dõi.</t>
  </si>
  <si>
    <t>13. Chỉ xác nhận tiếp nhận, chưa báo cáo việc đã làm</t>
  </si>
  <si>
    <t>nhận chỉ đạo, đã nhận chỉ đạo, nhận thông tin, ghi nhận chỉ đạo, thống nhất thực hiện, sẽ thực hiện, sẽ triển khai</t>
  </si>
  <si>
    <t>Không xem là cập nhật tiến độ; yêu cầu nêu hành động thực tế, đầu ra và thời hạn.</t>
  </si>
  <si>
    <t>14. Chỉ nêu phối hợp, chưa xác định trách nhiệm và đầu ra</t>
  </si>
  <si>
    <t>phối hợp thực hiện, đang phối hợp, sẽ phối hợp, phối hợp khi có yêu cầu, phối hợp cung cấp, đầu mối phối hợp, phối hợp các bên, các đơn vị liên quan</t>
  </si>
  <si>
    <t>Xác định đầu mối sở hữu kết quả, đơn vị phối hợp, việc đã làm, việc còn lại và mốc hoàn thành.</t>
  </si>
  <si>
    <t>15. Chỉ nêu định hướng hoặc trách nhiệm, chưa có tiến độ thực tế</t>
  </si>
  <si>
    <t>chủ động thực hiện, tiếp tục thực hiện, thực hiện theo định hướng, theo dõi và thực hiện, có kế hoạch, cần thực hiện, được giao phụ trách</t>
  </si>
  <si>
    <t>Yêu cầu báo cáo hành động đã hoàn thành, sản phẩm đã hình thành và bước tiếp theo thay vì lặp lại nội dung chỉ đạo.</t>
  </si>
  <si>
    <t>16. Có hoạt động nhưng chưa nêu kết quả của hoạt động</t>
  </si>
  <si>
    <t>đã họp, đã trao đổi, đã làm việc, đã gửi email, đã gửi góp ý, đã đào tạo, đã rà soát, đã tìm các công ty, đã cử nhân sự</t>
  </si>
  <si>
    <t>Bổ sung kết luận sau hoạt động, vấn đề đã giải quyết, đầu ra tạo ra, phạm vi và phần còn lại.</t>
  </si>
  <si>
    <t>17. Có tiến độ nhưng thiếu phạm vi hoàn thành</t>
  </si>
  <si>
    <t>đang thực hiện, đang triển khai, đang hoàn thiện, đang thi công, đang tuyển dụng, đang tích hợp, đang xử lý, đang điều chỉnh, đang nghiên cứu, đang rà soát, đang xây dựng</t>
  </si>
  <si>
    <t>Bổ sung tổng phạm vi, phần đã hoàn thành, phần còn lại, số lượng hoặc tỷ lệ và mốc đầu ra tiếp theo.</t>
  </si>
  <si>
    <t>18. Có bước xử lý nhưng thiếu mốc tiếp theo</t>
  </si>
  <si>
    <t>đã gửi, đã trao đổi, đã rà soát, đã trình bày, đã tìm kiếm, đã đề xuất, đã chuyển, đã thống nhất phối hợp</t>
  </si>
  <si>
    <t>Bổ sung bước tiếp theo, đầu mối chịu trách nhiệm, thời hạn và đầu ra phải đạt.</t>
  </si>
  <si>
    <t>19. Có mốc dự kiến nhưng chưa chỉ rõ căn cứ thực hiện</t>
  </si>
  <si>
    <t>dự kiến hoàn thành, dự kiến tuần sau, dự kiến ban hành, dự kiến trình ký, hoàn thành trước ngày, sẽ trình trước, chuẩn bị thực hiện trong quý</t>
  </si>
  <si>
    <t>Ghi rõ sản phẩm đang xử lý, cơ sở xác lập ngày dự kiến, người chịu trách nhiệm và điều kiện để đạt mốc.</t>
  </si>
  <si>
    <t>20. Phụ thuộc bên khác nhưng thông tin kiểm soát chưa đủ</t>
  </si>
  <si>
    <t>chờ HDBank, chờ NHNN, chờ HNX, chờ CSH, chờ Chủ sở hữu, chờ Viện Victoria, chờ chủ nhà, đợi phản hồi, chưa nhận văn bản, chưa nhận phê duyệt, chưa thông tin lại</t>
  </si>
  <si>
    <t>Bổ sung ngày gửi, bên đang giữ việc, nội dung chờ xử lý, số ngày chờ, lần nhắc gần nhất và cấp leo thang.</t>
  </si>
  <si>
    <t>21. Có luồng hồ sơ nhưng thiếu thông tin truy xuất</t>
  </si>
  <si>
    <t>đã trình, đang trình, trình ký, đã gửi công văn, đã gửi báo cáo, đã gửi tờ trình, hồ sơ đang ở, gửi xin ý kiến</t>
  </si>
  <si>
    <t>Bổ sung số hồ sơ hoặc văn bản, ngày gửi, cấp nhận, trạng thái hiện tại và nơi lưu bằng chứng.</t>
  </si>
  <si>
    <t>22. Có hồ sơ và luồng xử lý truy vết được</t>
  </si>
  <si>
    <t>tờ trình số, báo cáo số, công văn số, quyết định số, thông báo số, hợp đồng số, trình HĐTV ngày, trình TGĐ ngày, gửi ngày</t>
  </si>
  <si>
    <t>Đối chiếu tài liệu nguồn; ghi nhận cấp đang xử lý, thời gian chờ và mốc quyết định.</t>
  </si>
  <si>
    <t>23. Có bằng chứng chính thức nhưng chưa chứng minh đủ phạm vi</t>
  </si>
  <si>
    <t>đã ban hành quyết định, đã ban hành thông báo, đã ký hợp đồng, đã ký kết, đã phê duyệt tờ trình, đã gửi công văn số, đã nghiệm thu, đã bàn giao</t>
  </si>
  <si>
    <t>Kiểm tra bằng chứng có bao phủ toàn bộ yêu cầu hay chỉ một cấu phần; lưu số, ngày và nơi lưu tài liệu.</t>
  </si>
  <si>
    <t>24. Có số liệu nhưng thiếu mẫu số hoặc mục tiêu đối chiếu</t>
  </si>
  <si>
    <t>đã giám sát, đã phát hành, đã tuyển dụng, đạt, lũy kế, tỷ đồng, hồ sơ, khoản vay, khách hàng, thẻ, văn bản</t>
  </si>
  <si>
    <t>Bổ sung tổng phạm vi, mục tiêu, tỷ lệ hoàn thành, ngày chốt và nguồn số liệu.</t>
  </si>
  <si>
    <t>25. Có kết quả định lượng và phạm vi đối chiếu được</t>
  </si>
  <si>
    <t>8/10, 47/54, 58/70, 187/237, 2.500 thẻ, 14.549 thẻ, 50 hồ sơ, tổng số, tỷ lệ hoàn thành, phần trăm hoàn thành</t>
  </si>
  <si>
    <t>Đối chiếu nguồn số liệu và ngày chốt; xác định rõ phần chưa đạt và nguyên nhân.</t>
  </si>
  <si>
    <t>26. Nội dung dài nhưng thiếu kết luận trạng thái hiện tại</t>
  </si>
  <si>
    <t>Yêu cầu thêm một dòng kết luận đầu tiên gồm kết quả lũy kế, trạng thái hiện tại, phần còn lại, điểm nghẽn và mốc tiếp theo.</t>
  </si>
  <si>
    <t>27. Có thể xem xét xác nhận hoàn thành</t>
  </si>
  <si>
    <t>đã hoàn thành toàn bộ, hoàn thành đủ số lượng, đã ban hành và triển khai, đã nghiệm thu và bàn giao, đã phát hành và giao, không còn phần việc, hoàn thành lễ ký kết</t>
  </si>
  <si>
    <t>Chỉ đóng khi bằng chứng bao phủ toàn bộ chỉ đạo, không còn phần việc mở và không mâu thuẫn với thời hạn hoặc trạng thái X.</t>
  </si>
  <si>
    <t>28. Chưa đủ quy tắc để đánh giá tự động</t>
  </si>
  <si>
    <t>Đọc thủ công; nếu dạng nội dung này lặp lại, bổ sung cụm nhận diện phù hợp vào bảng.</t>
  </si>
  <si>
    <t>Thêm mới</t>
  </si>
  <si>
    <t>Giữ nguyên hoặc tạo mới</t>
  </si>
  <si>
    <t>Tự động xác định</t>
  </si>
  <si>
    <t>Tự động phân nhóm</t>
  </si>
  <si>
    <t>Lấy từ nguồn</t>
  </si>
  <si>
    <t>Tự động tính</t>
  </si>
  <si>
    <t>Tự động đánh giá</t>
  </si>
  <si>
    <t xml:space="preserve">Ngày chốt dữ liệu của từng file báo cáo. Lấy ngày từ tên file, không lấy ngày ghi trong nội dung các sheet. </t>
  </si>
  <si>
    <t xml:space="preserve">Mã dùng để nhận diện một chỉ đạo qua nhiều kỳ báo cáo. Nếu đã có ID thì giữ nguyên. Nếu chưa có thì tạo từ sheet nguồn, STT gốc và nội dung chỉ đạo. Việc thay đổi nhóm chủ đề hoặc mức độ tập trung không được làm thay đổi ID. </t>
  </si>
  <si>
    <t xml:space="preserve">Tên sheet chứa dòng dữ liệu ban đầu. Dùng để tìm lại đúng nguồn khi cần kiểm tra. </t>
  </si>
  <si>
    <t xml:space="preserve">Số dòng của dữ liệu trong sheet nguồn. Kết hợp với file và Source_Sheet để tìm lại đúng dòng gốc. </t>
  </si>
  <si>
    <t xml:space="preserve">Số thể hiện thứ tự cần ưu tiên theo dõi. Số càng nhỏ thì càng cần chú ý trước. Mức này được lấy theo kết quả tại cột Lý do. Ví dụ, lỗi chọn nhiều trạng thái là mức 1; đã hoàn thành là mức 2; quá hạn là các mức 3 đến 5. </t>
  </si>
  <si>
    <t xml:space="preserve">Tình trạng chung của chỉ đạo tại kỳ báo cáo, ví dụ: đã hoàn thành, quá hạn, sắp đến hạn, đang chờ phê duyệt hoặc vẫn còn thời gian. Hệ thống căn cứ vào ba cột trạng thái, thời hạn, ngày dự kiến hoàn thành và nội dung cập nhật. Quy tắc chi tiết nằm dưới bảng này. </t>
  </si>
  <si>
    <t xml:space="preserve">STT của dòng trong sheet nguồn tại đúng kỳ báo cáo. Chỉ dùng để đối chiếu nguồn, không dùng làm mã duy nhất vì STT có thể thay đổi giữa các file. </t>
  </si>
  <si>
    <t xml:space="preserve">Nhóm theo dõi do nguồn ghi nhận, ví dụ CHỈ ĐẠO TRỌNG TÂM hoặc CHỈ ĐẠO THEO DÕI TRONG NĂM 2026. Không dùng cột này để tạo ID. </t>
  </si>
  <si>
    <t xml:space="preserve">Nhóm chủ đề của chỉ đạo, ví dụ Core T24, kiều hối, tín dụng, nhân sự hoặc Thông tư 83. Hệ thống tìm từ khóa trong nội dung chỉ đạo và phần cập nhật tiến độ. Nội dung chỉ đạo được ưu tiên hơn phần cập nhật. Nếu không tìm được nhóm phù hợp thì ghi ! Cần rà soát. </t>
  </si>
  <si>
    <t xml:space="preserve">Đơn vị chịu trách nhiệm hoặc đơn vị đang báo cáo dòng chỉ đạo. Giá trị được xác định từ tên sheet và chuẩn hóa về tên đơn vị thống nhất. Tên sheet gốc vẫn được giữ tại Source_Sheet. </t>
  </si>
  <si>
    <t xml:space="preserve">Toàn bộ nội dung chỉ đạo trong nguồn. Không sửa câu chữ, không diễn giải và không rút gọn. </t>
  </si>
  <si>
    <t xml:space="preserve">Toàn bộ thông tin về kỳ họp như trong nguồn. Một ô có thể chứa một hoặc nhiều ngày họp. </t>
  </si>
  <si>
    <t xml:space="preserve">Ngày họp sớm nhất ghi trong Kỳ họp (RAW). Các ngày trùng nhau chỉ tính một lần. </t>
  </si>
  <si>
    <t xml:space="preserve">Ngày họp gần nhất ghi trong Kỳ họp (RAW). Các ngày trùng nhau chỉ tính một lần. </t>
  </si>
  <si>
    <t xml:space="preserve">Số ngày họp khác nhau được ghi trong Kỳ họp (RAW). Một ngày xuất hiện nhiều lần vẫn chỉ được tính một lần. </t>
  </si>
  <si>
    <t xml:space="preserve">Toàn bộ nội dung về thời hạn như trong nguồn, kể cả khi ô chứa nhiều ngày hoặc chỉ ghi theo tháng, quý hay năm. </t>
  </si>
  <si>
    <t xml:space="preserve">Thời hạn đầu tiên từng được ghi nhận cho cùng một ID qua các kỳ báo cáo. Cột này giúp biết ban đầu chỉ đạo được giao hoàn thành khi nào. </t>
  </si>
  <si>
    <t xml:space="preserve">Thời hạn đang được áp dụng tại kỳ báo cáo hiện tại. Nếu ô nguồn có nhiều ngày, hệ thống phải chọn ngày có ý nghĩa là thời hạn cuối cùng của chỉ đạo, không tự động lấy ngày lớn nhất trong mọi trường hợp. </t>
  </si>
  <si>
    <t xml:space="preserve">Đếm số lần Thời hạn mới nhất thay đổi so với kỳ báo cáo liền trước của cùng một ID. Một ô có nhiều ngày không đồng nghĩa với việc thời hạn đã thay đổi nhiều lần. </t>
  </si>
  <si>
    <t xml:space="preserve">Lấy Thời hạn mới nhất trừ Snapshot. Số dương là còn thời gian; 0 là đến hạn; số âm là đã quá hạn. Nếu không xác định được thời hạn thì ghi Không giao thời hạn. </t>
  </si>
  <si>
    <t xml:space="preserve">Toàn bộ nội dung cập nhật do đơn vị báo cáo. Không sửa câu chữ, không rút gọn và không tự kết luận thay cho đơn vị. </t>
  </si>
  <si>
    <t xml:space="preserve">Nhận xét xem nội dung cập nhật có đủ rõ và đáng tin để sử dụng hay không. Kết quả gồm hai phần: vấn đề phát hiện và yêu cầu bổ sung. Ví dụ: không có nội dung cập nhật; báo hoàn thành nhưng thiếu bằng chứng; chỉ nói đang phối hợp; có nhiều phần việc ở các trạng thái khác nhau; hoặc chưa đủ quy tắc để đánh giá tự động. </t>
  </si>
  <si>
    <t xml:space="preserve">Giữ nguyên dấu X từ nguồn. Dấu X nghĩa là đơn vị tự báo chỉ đạo đã hoàn thành. Đây chưa phải kết luận kiểm chứng độc lập. </t>
  </si>
  <si>
    <t xml:space="preserve">Giữ nguyên dấu X từ nguồn. Dấu X nghĩa là đơn vị tự báo chỉ đạo vẫn đang thực hiện đúng tiến độ. </t>
  </si>
  <si>
    <t xml:space="preserve">Giữ nguyên dấu X từ nguồn. Dấu X nghĩa là đơn vị xác nhận chỉ đạo chưa hoàn thành. Trong ba cột trạng thái 23, 24 và 25, mỗi dòng chỉ được đánh dấu tối đa một cột. </t>
  </si>
  <si>
    <t xml:space="preserve">Toàn bộ nội dung đơn vị ghi về thời điểm dự kiến hoàn thành. Có thể là một ngày cụ thể, tháng, quý, năm hoặc nội dung như “phụ thuộc đơn vị liên quan”. Không sửa hoặc bỏ phần chữ gốc. </t>
  </si>
  <si>
    <t xml:space="preserve">Ngày dự kiến hoàn thành đầu tiên từng được ghi nhận cho cùng một ID qua các kỳ báo cáo. Cột này giúp biết đơn vị ban đầu hẹn hoàn thành khi nào. </t>
  </si>
  <si>
    <t xml:space="preserve">Ngày dự kiến hoàn thành đang được đơn vị báo cáo tại kỳ hiện tại. Nếu nội dung có nhiều ngày, chọn ngày đang có hiệu lực, không mặc định lấy ngày lớn nhất. Nếu nội dung không thể đổi thành ngày cụ thể thì không ghi ngày. </t>
  </si>
  <si>
    <t xml:space="preserve">Đếm số lần Dự kiến mới nhất thay đổi so với kỳ báo cáo liền trước của cùng một ID. Không đếm số ngày cùng xuất hiện trong một ô. </t>
  </si>
  <si>
    <t xml:space="preserve">Lấy Dự kiến mới nhất trừ Thời hạn mới nhất. Số dương là dự kiến hoàn thành trễ; 0 là dự kiến đúng hạn; số âm là dự kiến hoàn thành sớm. Nếu không có thời hạn thì ghi Không giao thời hạn; nếu có thời hạn nhưng chưa có ngày dự kiến thì ghi Chưa có dự kiến. </t>
  </si>
  <si>
    <t>Dấu hiệu</t>
  </si>
  <si>
    <t>Nhận định và kiến nghị</t>
  </si>
  <si>
    <t>Quá hạn 164 ngày nhưng báo đúng tiến độ; dự kiến hoàn thành lùi từ 30/3/2026 đến cuối năm 2026; nhiều đầu việc còn dự thảo hoặc chờ phối hợp.</t>
  </si>
  <si>
    <t>Chỉ đạo đã tồn tại từ năm 2025 nhưng đến nay mới dừng ở dự thảo, chưa có thời hạn trình và phê duyệt rõ ràng. Ban Điều hành cần yêu cầu Khối Nhân sự chốt đầu ra, người chịu trách nhiệm và ngày hoàn thành, không tiếp tục báo cáo theo hướng chờ khung lương mới mà thiếu kế hoạch xử lý cụ thể.</t>
  </si>
  <si>
    <t>Được nhắc lại tại 4 kỳ họp từ tháng 8 đến tháng 11/2025; yêu cầu “trình trong tuần sau” nhưng tới nay vẫn còn chưa xong; tiến độ không thay đổi giữa hai kỳ báo cáo.</t>
  </si>
  <si>
    <t>Chỉ đạo đã quá hạn 83 ngày nhưng vẫn được báo cáo đúng tiến độ, không phản ánh đúng thực trạng. Ban Điều hành cần chấn chỉnh việc báo cáo trạng thái, yêu cầu Khối Nhân sự xác định ngày trình phê duyệt, ngày áp dụng và chịu trách nhiệm đối với phần việc tiếp tục chậm trễ.</t>
  </si>
  <si>
    <t>Chỉ đạo đã quá hạn 76 ngày nhưng vẫn được báo cáo đúng tiến độ, không phản ánh đúng thực trạng. Ban Điều hành cần chấn chỉnh việc báo cáo trạng thái, yêu cầu Khối Nhân sự xác định ngày trình phê duyệt, ngày áp dụng và trách nhiệm hoàn thành.</t>
  </si>
  <si>
    <t>Đã được nhắc lại tại 4 kỳ họp; quá hạn 76 ngày nhưng báo đúng tiến độ; dự kiến hoàn thành đã lùi từ 26/6/2026 đến cuối quý III/2026; kết quả mới dừng ở dự thảo.</t>
  </si>
  <si>
    <t>Đã được nhắc lại tại 4 kỳ họp; quá hạn 83 ngày nhưng báo đúng tiến độ; dự kiến hoàn thành đã lùi từ 26/6/2026 đến cuối quý III/2026; kết quả mới dừng ở dự thảo.</t>
  </si>
  <si>
    <t>Được nhắc lại tại 5 kỳ họp; quá hạn 110 ngày; dự kiến hoàn thành lùi từ 30/5/2026 sang tháng 8 và tháng 9/2026; chưa có Quy định được ban hành.</t>
  </si>
  <si>
    <t>Chỉ đạo đã quá hạn 110 ngày, lùi tiến độ hai lần nhưng Quy định vẫn chưa được phê duyệt, ban hành. Ban Điều hành cần yêu cầu Khối TCKH giải trình nguyên nhân, xác định trách nhiệm và cam kết ngày hoàn thành cuối cùng, không tiếp tục kéo dài qua các vòng dự thảo và xin ý kiến.</t>
  </si>
  <si>
    <t>Chỉ đạo đã quá hạn 103 ngày và mốc dự kiến tháng 8/2026 cũng không được thực hiện. Ban Điều hành cần yêu cầu Khối TCKH giải trình nguyên nhân, xác định trách nhiệm và chốt ngày ban hành, không tiếp tục báo cáo bằng các bước xử lý trung gian.</t>
  </si>
  <si>
    <t>Được nhắc lại tại 5 kỳ họp; quá hạn 103 ngày; mốc dự kiến tháng 8/2026 đã qua; Quy định vẫn chưa được ban hành.</t>
  </si>
  <si>
    <t>Mốc hoàn thành tháng 8/2026 đã không đạt; còn 25/212 điểm chưa hoàn tất và chưa có thời hạn thay thế. Ban Điều hành cần yêu cầu lập kế hoạch xử lý riêng cho từng điểm, quy rõ đầu mối chịu trách nhiệm và thời hạn hoàn thành, đặc biệt đối với các vướng mắc mặt bằng và pháp lý.</t>
  </si>
  <si>
    <t>Mới hoàn thành 187/212 điểm; còn 25 điểm chưa hoàn tất; mốc tháng 8/2026 đã qua; chưa có thời hạn hoàn thành mới.</t>
  </si>
  <si>
    <t>Mốc hoàn thành tháng 8/2026 đã không đạt; còn 28/212 điểm chưa hoàn tất và chưa có thời hạn thay thế. Ban Điều hành cần yêu cầu lập kế hoạch xử lý riêng cho từng điểm, quy rõ đầu mối chịu trách nhiệm và thời hạn hoàn thành.</t>
  </si>
  <si>
    <t>Mới hoàn thành 184/212 điểm; còn 28 điểm chưa hoàn tất; mốc tháng 8/2026 đã qua; chưa có thời hạn hoàn thành mới.</t>
  </si>
  <si>
    <t>Sau hơn một năm theo dõi, báo cáo vẫn chỉ nêu “đang phối hợp”, không xác định được sản phẩm đã hoàn thành, phần việc còn lại và thời hạn thực hiện. Ban Điều hành cần yêu cầu K.QLKPP báo cáo lại theo từng tài liệu, kèm trạng thái, người chịu trách nhiệm, ngày hoàn thành và bằng chứng kết quả.</t>
  </si>
  <si>
    <t>Được nhắc lại tại 3 kỳ họp từ tháng 5 đến tháng 8/2025; cập nhật không có đầu ra, kết quả định lượng hoặc thời hạn; không có chuyển biến giữa hai kỳ báo cáo.</t>
  </si>
  <si>
    <t>Báo cáo gộp nhiều hạng mục có trạng thái khác nhau nhưng vẫn đánh dấu đúng tiến độ trong khi không có kế hoạch và tiêu chí hoàn thành để đối chiếu. Ban Điều hành cần yêu cầu MKT&amp;PR lập danh mục kiểm soát riêng cho từng hạng mục, xác định số lượng, đầu ra, thời hạn và người chịu trách nhiệm.</t>
  </si>
  <si>
    <t>Được nhắc lại tại 4 kỳ họp; không có thời hạn hoặc tiêu chí hoàn thành; nhiều hạng mục chưa hoàn tất; nội dung không thay đổi giữa hai kỳ báo cáo.</t>
  </si>
  <si>
    <t>Chỉ đạo đã quá hạn 171 ngày nhưng vẫn được báo cáo đúng tiến độ, làm sai lệch tình trạng thực hiện. Nhiều đầu ra còn dự thảo, chờ báo giá hoặc chưa có đầu mối. Ban Điều hành cần chấn chỉnh việc báo cáo, quy trách nhiệm từng đầu việc và ấn định thời hạn hoàn thành bắt buộc.</t>
  </si>
  <si>
    <t>Quá hạn 171 ngày nhưng báo đúng tiến độ; dự kiến hoàn thành lùi từ 30/3/2026 đến cuối năm 2026; nhiều đầu việc chưa hoàn tất hoặc chưa có đầu mối.</t>
  </si>
  <si>
    <t>Chỉ đạo đã quá hạn 164 ngày nhưng vẫn được báo cáo đúng tiến độ, làm sai lệch tình trạng thực hiện. Ban Điều hành cần chấn chỉnh việc báo cáo, quy trách nhiệm từng đầu việc và ấn định thời hạn hoàn thành bắt buộc.</t>
  </si>
  <si>
    <t>Chỉ đạo đã quá hạn 79 ngày; mốc dự kiến tháng 8/2026 cũng đã qua nhưng báo cáo không có cập nhật mới ngoài việc chờ ý kiến NHNN. Ban Điều hành cần yêu cầu Khối TCKH báo cáo kết quả làm việc, phương án xử lý trong từng trường hợp và ngày hoàn thành cuối cùng.</t>
  </si>
  <si>
    <t>Được nhắc lại tại 4 kỳ họp; quá hạn 79 ngày; dự kiến hoàn thành lùi từ 30/6/2026 sang tháng 8/2026 nhưng vẫn không đạt; không có cập nhật mới tại ngày 17/9/2026.</t>
  </si>
  <si>
    <t>Chỉ đạo đã quá hạn 72 ngày; mốc dự kiến tháng 8/2026 cũng đã qua nhưng vẫn chưa có phương án xử lý cuối cùng. Ban Điều hành cần yêu cầu Khối TCKH báo cáo kết quả làm việc với NHNN, trách nhiệm xử lý và ngày hoàn thành cụ thể.</t>
  </si>
  <si>
    <t>Được nhắc lại tại 4 kỳ họp; quá hạn 72 ngày; dự kiến hoàn thành lùi từ 30/6/2026 sang tháng 8/2026 nhưng vẫn không đạt.</t>
  </si>
  <si>
    <t>Chỉ đạo trọng tâm đã được nêu tại 3 kỳ họp nhưng chưa có thời hạn kiểm soát; các đầu ra chủ yếu vẫn đang lấy ý kiến, chờ phê duyệt hoặc tiếp tục hoàn thiện. Ban Điều hành cần ấn định thời hạn ban hành từng đầu ra, phân công rõ người chịu trách nhiệm và không tiếp tục để tình trạng “đang hoàn thiện” kéo dài.</t>
  </si>
  <si>
    <t>Được nhắc lại tại 3 kỳ họp; chưa có thời hạn chính thức; nhiều đầu ra vẫn chờ góp ý hoặc phê duyệt; không có chuyển biến giữa hai kỳ báo cáo.</t>
  </si>
  <si>
    <t>Đánh dấu hoàn thành ở đây là chưa phù hợp vì kế hoạch triển khai rộng vẫn đang chờ phê duyệt và một số quyết định triển khai chưa được ban hành. Ban Điều hành cần rà soát lại trạng thái, xác định rõ phần việc đã hoàn thành, phần việc còn tồn tại và điều kiện nghiệm thu toàn bộ chỉ đạo.</t>
  </si>
  <si>
    <t>Báo hoàn thành nhưng rollout sản phẩm vẫn chờ phê duyệt; quyết định triển khai rộng và thông báo ưu đãi chưa có bằng chứng ban hành; nội dung không thay đổi giữa hai kỳ báo cáo.</t>
  </si>
  <si>
    <t>Chỉ đạo đã quá hạn 62 ngày nhưng vẫn báo đúng tiến độ; báo cáo chỉ nêu “đang cố gắng” và “trong thời gian sớm nhất”, không có kết quả chuyển giao hoặc thời hạn hoàn thành. Ban Điều hành cần chấn chỉnh trạng thái báo cáo, yêu cầu Khối Nhân sự trình ngay phương án đối với 22 nhân sự, kèm trách nhiệm và thời hạn xử lý dứt điểm.</t>
  </si>
  <si>
    <t>Quá hạn 62 ngày nhưng báo đúng tiến độ; chưa có phương án chính thức cho 22 nhân sự; không có ngày hoàn thành; tiến độ không thay đổi giữa hai kỳ.</t>
  </si>
  <si>
    <t>Chỉ đạo đã quá hạn 55 ngày nhưng vẫn báo đúng tiến độ; chưa có phương án chuyển giao 22 nhân sự và không có ngày hoàn thành. Ban Điều hành cần yêu cầu Khối Nhân sự chốt phương án, trách nhiệm và thời hạn xử lý, không tiếp tục sử dụng các mô tả chung chung như “đang cố gắng” hoặc “sớm nhất”.</t>
  </si>
  <si>
    <t>Quá hạn 55 ngày nhưng báo đúng tiến độ; chưa có phương án chính thức cho 22 nhân sự; không có ngày hoàn thành.</t>
  </si>
  <si>
    <t>Nếu đã hoàn thành thì cần điền vào cột hoàn thành</t>
  </si>
  <si>
    <t>Điều chỉnh cột nếu đã hoàn thành</t>
  </si>
  <si>
    <t>JD Ngân hàng Bán lẻ đã được ban hành nhưng Quy chế tổ chức và hoạt động vẫn đang trình, vì vậy chỉ đạo chưa hoàn thành đầy đủ. Ban Điều hành cần ấn định ngày phê duyệt Quy chế và không tiếp tục báo cáo chung là đúng tiến độ khi chưa có thời hạn kiểm soát.</t>
  </si>
  <si>
    <t>Một đầu ra đã hoàn thành; Quy chế tổ chức và hoạt động vẫn chờ phê duyệt; chưa có thời hạn ban hành.</t>
  </si>
  <si>
    <t>JD Ngân hàng Bán lẻ đã được ban hành nhưng Quy chế tổ chức và hoạt động mới ở bước ký trình. Ban Điều hành cần quy định ngày hoàn tất phê duyệt và báo cáo riêng trạng thái từng đầu ra.</t>
  </si>
  <si>
    <t>Một đầu ra đã hoàn thành; Quy chế mới ở bước ký trình; chưa có thời hạn ban hành.</t>
  </si>
  <si>
    <t>Chỉ đạo yêu cầu đẩy nhanh đăng ký và hoàn thiện chuyển giao quyền sở hữu, nhưng báo cáo chỉ nêu sẽ thực hiện “khi có phát sinh”, không xác định hồ sơ, đối tượng bảo hộ hoặc kết quả đã thực hiện. Ban Điều hành cần yêu cầu lập danh mục tài sản cần bảo hộ, tình trạng pháp lý, đơn vị sở hữu, hồ sơ còn thiếu và thời hạn hoàn tất từng trường hợp.</t>
  </si>
  <si>
    <t>Chỉ đạo trọng tâm nhưng không có kế hoạch thực hiện; báo cáo không nêu hồ sơ, kết quả đăng ký hoặc tình trạng chuyển giao quyền sở hữu; nội dung không thay đổi giữa hai kỳ.</t>
  </si>
  <si>
    <t>Còn 20/106 kiến nghị chưa có xác nhận hoàn thành, gồm 15 kiến nghị đang tiếp tục xử lý và 5 kiến nghị được báo cáo không thể khắc phục. Ban Điều hành cần yêu cầu phân loại rõ nguyên nhân, trách nhiệm và biện pháp xử lý từng kiến nghị; riêng các nội dung “không thể khắc phục” phải có ý kiến của cấp có thẩm quyền, không được tự loại khỏi phạm vi theo dõi.</t>
  </si>
  <si>
    <t>Còn 15 kiến nghị tiếp tục khắc phục và 5 kiến nghị được báo cáo không thể khắc phục; một số kết quả còn chờ văn bản chấp thuận của Thanh tra NHNN; chưa có thời hạn xử lý dứt điểm.</t>
  </si>
  <si>
    <t>Còn 20/106 kiến nghị chưa có xác nhận hoàn thành. Ban Điều hành cần yêu cầu lập kế hoạch đóng từng kiến nghị, xác định trách nhiệm và thời hạn; 5 kiến nghị được báo cáo không thể khắc phục phải được giải trình và trình cấp có thẩm quyền quyết định.</t>
  </si>
  <si>
    <t>Đã khắc phục 86/106 kiến nghị; còn 15 kiến nghị tiếp tục xử lý và 5 kiến nghị báo cáo không thể khắc phục; chưa có thời hạn hoàn tất.</t>
  </si>
  <si>
    <t>Chỉ đạo đã được theo dõi từ tháng 2/2026 nhưng đến nay vẫn đang rà soát hồ sơ, chưa có báo cáo tổng thể, danh sách nhân sự đáp ứng yêu cầu hoặc phương án trình cấp có thẩm quyền. Ban Điều hành cần yêu cầu Khối Nhân sự hoàn tất đầu ra được giao trước khi kết thúc quý III/2026, xác định rõ nhu cầu, ứng viên phù hợp và trách nhiệm phối hợp.</t>
  </si>
  <si>
    <t>Theo dõi từ tháng 2/2026; chưa có báo cáo tổng thể hoặc phương án chuyển nguồn lực; nội dung không thay đổi giữa hai kỳ; mốc cuối quý III/2026 đang đến gần.</t>
  </si>
  <si>
    <t>Chỉ đạo từ tháng 12/2025; chưa có kết quả định lượng về sản phẩm, khách hàng tiềm năng hoặc giao dịch; vẫn chờ chỉ đạo; nội dung không thay đổi giữa hai kỳ.</t>
  </si>
  <si>
    <t>Không thể đánh dấu đúng tiến độ chỉ dựa trên việc “đã bắt đầu thực hiện” khi không có kế hoạch, tiêu chí kết quả và thời hạn để đối chiếu.
Sau hơn chín tháng, báo cáo mới mô tả định hướng ngắn hạn, dài hạn và tình trạng chờ chỉ đạo, chưa chứng minh website đã trở thành kênh bán hàng hiệu quả. Ban Điều hành cần yêu cầu xác định sản phẩm đã đưa lên website, chức năng đã vận hành, kết quả tạo khách hàng tiềm năng hoặc giao dịch, đầu mối quyết định và thời hạn hoàn thành.</t>
  </si>
  <si>
    <t>Chỉ đạo đã quá hạn 109 ngày nhưng kết quả mới dừng ở việc gửi công văn, chưa có bằng chứng công trình đã được bảo trì. Ban Điều hành cần yêu cầu K.QLKPP báo cáo rõ tình trạng triển khai, kinh phí đã tạm ứng, đơn vị thực hiện và thời hạn hoàn thành dứt điểm.</t>
  </si>
  <si>
    <t>Quá hạn 109 ngày; mới có công văn triển khai; chưa có kết quả thi công, nghiệm thu hoặc thời hạn hoàn thành.</t>
  </si>
  <si>
    <t>Chỉ đạo đã quá hạn 119 ngày nhưng backtest 50 hồ sơ vẫn chưa được triển khai, tờ trình pilot còn trong quá trình lấy ý kiến. Ban Điều hành cần chấn chỉnh tiến độ, yêu cầu NHBL chốt phê duyệt, thực hiện đủ 50 hồ sơ và báo cáo kết quả trước khi kết luận quy trình đã được hoàn thiện.</t>
  </si>
  <si>
    <t>Quá hạn 119 ngày; backtest 50 hồ sơ chưa thực hiện; tờ trình pilot còn chờ ký; dự kiến hoàn thành lùi từ 21/5 đến 30/9/2026.</t>
  </si>
  <si>
    <t>Quá hạn 112 ngày; backtest 50 hồ sơ chưa thực hiện; tờ trình pilot còn chờ ký; dự kiến hoàn thành lùi từ 21/5 đến 30/9/2026.</t>
  </si>
  <si>
    <t>Chỉ đạo đã quá hạn 112 ngày nhưng backtest 50 hồ sơ vẫn chưa được triển khai, tờ trình pilot còn chờ phê duyệt. Ban Điều hành cần yêu cầu NHBL xác định trách nhiệm, chốt ngày phê duyệt và hoàn thành đầy đủ kết quả backtest.</t>
  </si>
  <si>
    <t>Chỉ đạo đã quá hạn 260 ngày nhưng vẫn báo đúng tiến độ; chính sách phòng chờ không giới hạn và tích điểm chưa được triển khai đầy đủ. Ban Điều hành cần chấn chỉnh trạng thái báo cáo, yêu cầu Trung tâm Thẻ xác định rõ sản phẩm đáp ứng chỉ đạo, kết quả nghiệm thu và ngày triển khai chính thức.</t>
  </si>
  <si>
    <t>Quá hạn 260 ngày nhưng báo đúng tiến độ; mới triển khai phòng chờ có thu phí 32 USD/lượt; hợp đồng SkyJoy còn trình ký; tích hợp điểm thưởng chưa nghiệm thu.</t>
  </si>
  <si>
    <t>Chỉ đạo đã quá hạn 253 ngày nhưng vẫn báo đúng tiến độ; các đầu ra chính chưa hoàn tất và chưa có ngày triển khai. Ban Điều hành cần yêu cầu Trung tâm Thẻ chốt phương án, trách nhiệm và thời hạn hoàn thành.</t>
  </si>
  <si>
    <t>Quá hạn 253 ngày nhưng báo đúng tiến độ; hợp đồng SkyJoy còn trình ký; tích hợp điểm thưởng chưa nghiệm thu; chưa có ngày hoàn thành.</t>
  </si>
  <si>
    <t>Chỉ đạo đã quá hạn 140 ngày nhưng báo cáo chỉ đề cập một trong ba đối tác và mới dừng ở dự thảo đề án đang trình. Ban Điều hành cần yêu cầu NHBL báo cáo riêng kết quả với từng đối tác, làm rõ phần việc chưa thực hiện và hoàn thành cam kết trong tháng 9/2026.</t>
  </si>
  <si>
    <t>Quá hạn 140 ngày; chỉ cập nhật Hội Liên hiệp Phụ nữ Việt Nam; chưa có kết quả đối với Đài Truyền hình Vĩnh Long và Trường Đại học Cần Thơ; dự kiến lùi đến tháng 9/2026.</t>
  </si>
  <si>
    <t>Chỉ đạo đã quá hạn 133 ngày; mới báo cáo hoàn thành một hợp tác và một dự thảo đang trình, chưa phản ánh đầy đủ kết quả với cả ba đối tác. Ban Điều hành cần yêu cầu NHBL xác nhận đúng đối tác, phạm vi ký kết và kế hoạch hoàn thành phần việc còn lại.</t>
  </si>
  <si>
    <t>Quá hạn 133 ngày; mới có kết quả đối với một trường thuộc Đại học Cần Thơ; hợp tác với Hội Liên hiệp Phụ nữ Việt Nam còn trình; chưa cập nhật Đài Truyền hình Vĩnh Long.</t>
  </si>
  <si>
    <t>Chỉ đạo đã quá hạn 322 ngày nhưng mới hoàn thành phần hình nền; các chức năng cốt lõi về cỡ chữ, giao diện riêng và tự động nhận diện khách hàng lớn tuổi chưa được triển khai. Ban Điều hành cần yêu cầu Trung tâm Công nghệ xác lập phạm vi còn thiếu, thời hạn bàn giao và trách nhiệm của Vikki Bank, không tiếp tục phụ thuộc tiến độ FinX mà không có cam kết cụ thể.</t>
  </si>
  <si>
    <t>Quá hạn 322 ngày; mới hoàn thành hình nền; chưa hoàn thành cỡ chữ, giao diện mới và cơ chế tự động hiển thị; không có ngày hoàn thành.</t>
  </si>
  <si>
    <t>Chỉ đạo đã quá hạn 315 ngày nhưng phần lớn yêu cầu chưa hoàn thành và không có thời hạn khắc phục. Ban Điều hành cần yêu cầu Trung tâm Công nghệ chốt kế hoạch, đầu mối chịu trách nhiệm và ngày đưa đầy đủ chức năng vào sử dụng.</t>
  </si>
  <si>
    <t>Quá hạn 315 ngày; mới hoàn thành hình nền; các chức năng chính còn đang review hoặc chưa phát triển; không có ngày hoàn thành.</t>
  </si>
  <si>
    <t>Chỉ đạo đã quá hạn 145 ngày nhưng kết quả vẫn chỉ là dự thảo đang trình nội bộ. Ban Điều hành cần yêu cầu NHBL giải trình nguyên nhân kéo dài, chốt ngày phê duyệt và ban hành cơ chế để đơn vị kinh doanh có thể triển khai thực tế.</t>
  </si>
  <si>
    <t>Quá hạn 145 ngày; dự kiến hoàn thành lùi từ 25/4 đến 30/9/2026; kết quả vẫn dừng ở dự thảo đang trình.</t>
  </si>
  <si>
    <t>Chỉ đạo đã quá hạn 138 ngày nhưng kết quả vẫn dừng ở dự thảo. Ban Điều hành cần yêu cầu NHBL chốt phê duyệt, ban hành và xác định trách nhiệm đối với việc chậm hoàn thành.</t>
  </si>
  <si>
    <t>Quá hạn 138 ngày; dự kiến hoàn thành lùi từ 25/4 đến 30/9/2026; chưa có văn bản được phê duyệt, ban hành.</t>
  </si>
  <si>
    <t>Chỉ đạo đã quá hạn 140 ngày; mốc dự kiến 30/8/2026 cũng đã không đạt nhưng báo cáo vẫn chỉ là phương án tài trợ, chưa có phê duyệt, ký kết hoặc triển khai. Ban Điều hành cần yêu cầu MKT&amp;PR báo cáo quyết định cuối cùng, hiệu quả dự kiến, ngân sách và thời hạn hoàn thành.</t>
  </si>
  <si>
    <t>Quá hạn 140 ngày; mốc dự kiến 30/8/2026 đã qua; mới có phương án tài trợ; chưa có kết quả phê duyệt, ký kết hoặc triển khai.</t>
  </si>
  <si>
    <t>Chỉ đạo đã quá hạn 133 ngày và mốc dự kiến 30/8/2026 không được thực hiện. Ban Điều hành cần yêu cầu MKT&amp;PR chốt phương án, thẩm quyền phê duyệt, ngân sách và ngày triển khai, không tiếp tục báo cáo bằng nội dung đề xuất chưa được quyết định.</t>
  </si>
  <si>
    <t>Quá hạn 133 ngày; mốc dự kiến 30/8/2026 đã qua; phương án tài trợ chưa có kết quả phê duyệt hoặc triển khai.</t>
  </si>
  <si>
    <t>Mục tiêu hoàn thành toàn bộ 237 điểm trước 31/5/2026 đã không đạt; hiện còn 50 điểm chưa hoàn tất và kế hoạch kéo dài đến năm 2027. Ban Điều hành cần báo cáo Chủ sở hữu nguyên nhân điều chỉnh lớn về tiến độ, quy trách nhiệm từng nhóm vướng mắc và xác lập kế hoạch kiểm soát riêng đối với 5 điểm kéo dài sang năm 2027.</t>
  </si>
  <si>
    <t>Quá hạn 109 ngày; mới hoàn thành 187/237 điểm; còn 50 điểm chưa hoàn tất; thời gian hoàn thành toàn bộ lùi từ 31/5/2026 sang năm 2027.</t>
  </si>
  <si>
    <t>Chỉ đạo đã quá hạn 260 ngày nhưng vẫn báo đúng tiến độ; việc di dời chưa được thực hiện và không có ngày hoàn thành. Ban Điều hành cần yêu cầu Trung tâm Công nghệ báo cáo hồ sơ đã gửi, quá trình làm việc với HNX, phương án trong trường hợp tiếp tục chậm phê duyệt và thời hạn thực hiện sau khi được chấp thuận.</t>
  </si>
  <si>
    <t>Quá hạn 260 ngày nhưng báo đúng tiến độ; chưa có văn bản chấp thuận của HNX; chưa thực hiện di dời; không có thời hạn thay thế.</t>
  </si>
  <si>
    <t>Chỉ đạo đã quá hạn 253 ngày nhưng vẫn báo đúng tiến độ; toàn bộ việc di dời chưa được thực hiện và chưa có kế hoạch thay thế. Ban Điều hành cần chấn chỉnh trạng thái báo cáo và yêu cầu xác định rõ trách nhiệm, phương án và thời hạn xử lý.</t>
  </si>
  <si>
    <t>Quá hạn 253 ngày nhưng báo đúng tiến độ; chưa có văn bản chấp thuận của HNX; chưa thực hiện di dời; không có ngày hoàn thành.</t>
  </si>
  <si>
    <t>Chỉ đạo yêu cầu Phòng KDTT tham khảo ý kiến kiểm toán và trình phương án cho HĐTV trước 4/4/2026, nhưng sau 166 ngày quá hạn báo cáo chỉ nêu Phòng KTTC đã hỏi NHNN. Ban Điều hành cần làm rõ trách nhiệm thực hiện, yêu cầu cung cấp ý kiến kiểm toán, phương án trình HĐTV và ngày xử lý dứt điểm trạng thái vàng.</t>
  </si>
  <si>
    <t>Quá hạn 166 ngày; dự kiến hoàn thành lùi đến 30/9/2026; chưa có ý kiến kiểm toán hoặc phương án trình HĐTV; đơn vị cập nhật không trùng với đơn vị được giao.</t>
  </si>
  <si>
    <t>Chỉ đạo đã quá hạn 159 ngày nhưng chưa có phương án trình HĐTV; cập nhật mới chỉ phản ánh việc Phòng KTTC gửi văn bản hỏi NHNN. Ban Điều hành cần xác định lại đầu mối chịu trách nhiệm và yêu cầu hoàn tất đúng đầu ra được giao.</t>
  </si>
  <si>
    <t>Quá hạn 159 ngày; dự kiến hoàn thành lùi đến 30/9/2026; chưa có ý kiến kiểm toán hoặc phương án trình HĐTV; cập nhật chưa phản ánh trách nhiệm của Phòng KDTT.</t>
  </si>
  <si>
    <t>Chỉ đạo đã quá hạn 140 ngày nhưng vẫn báo đúng tiến độ; ba đơn vị chưa hoàn tất và không có ngày hoàn thành. Ban Điều hành cần yêu cầu DVKH&amp;NQ, Khối Nhân sự và NHBL hoàn tất SLA trong thời hạn bắt buộc; K.QLKPP phải chịu trách nhiệm tổng hợp, kiểm tra và báo cáo kết quả toàn hệ thống.</t>
  </si>
  <si>
    <t>Quá hạn 140 ngày nhưng báo đúng tiến độ; còn ba đơn vị chưa hoàn tất SLA; không có ngày hoàn thành; lý do “phụ thuộc đơn vị” không thay thế trách nhiệm đầu mối.</t>
  </si>
  <si>
    <t>Chỉ đạo đã quá hạn 133 ngày nhưng vẫn báo đúng tiến độ; ba đơn vị chưa hoàn tất và chưa có thời hạn xử lý. Ban Điều hành cần chấn chỉnh trạng thái báo cáo, ấn định hạn hoàn thành và quy trách nhiệm đối với từng đơn vị còn tồn đọng.</t>
  </si>
  <si>
    <t>Quá hạn 133 ngày nhưng báo đúng tiến độ; DVKH&amp;NQ, Khối Nhân sự và NHBL chưa hoàn tất SLA; không có ngày hoàn thành.</t>
  </si>
  <si>
    <t>Chỉ đạo đã quá hạn 50 ngày; mốc hoàn thành tháng 8/2026 cũng đã qua nhưng báo cáo vẫn chỉ nêu đang rà soát. Ban Điều hành cần yêu cầu Trung tâm Công nghệ trình ngay danh mục chênh lệch tính năng, thứ tự ưu tiên, phương án tự phát triển hoặc thuê ngoài và tiến độ kết nối eTax.</t>
  </si>
  <si>
    <t>Quá hạn 50 ngày; mốc dự kiến tháng 8/2026 không đạt; chưa có danh mục tính năng, phương án xử lý hoặc kết quả kết nối eTax.</t>
  </si>
  <si>
    <t>Chỉ đạo đã quá hạn 43 ngày; mốc hoàn thành tháng 8/2026 đã qua nhưng chưa có đầu ra. Ban Điều hành cần yêu cầu Trung tâm Công nghệ hoàn tất báo cáo và xác định ngày xử lý eTax, không tiếp tục báo cáo chung là đang phối hợp.</t>
  </si>
  <si>
    <t>Quá hạn 43 ngày; mốc dự kiến tháng 8/2026 không đạt; chưa có đầu ra hoặc ngày hoàn thành mới.</t>
  </si>
  <si>
    <t>Nếu đã xong thì đóng lại và xóa dòng hoặc lưu nơi khác</t>
  </si>
  <si>
    <t>Nếu ngừng thì xóa khỏi file</t>
  </si>
  <si>
    <t>Báo đã phê duyệt ban hành nhưng thiếu số văn bản, ngày hiệu lực và bằng chứng triển khai.</t>
  </si>
  <si>
    <t>Báo cáo cho biết nội dung đã được phê duyệt ban hành nhưng chưa nêu số văn bản, ngày hiệu lực và kết quả áp dụng. Ban Điều hành cần yêu cầu Khối Nhân sự cung cấp văn bản và xác nhận cơ chế đã được vận hành thực tế.</t>
  </si>
  <si>
    <t>Chính sách lương đã quá hạn ban hành nhưng báo cáo chỉ nêu đang thực hiện, không có dự thảo, cấp phê duyệt hoặc ngày ban hành. Ban Điều hành cần yêu cầu Khối Nhân sự hoàn tất ngay việc ban hành, phổ biến và truy trả từ ngày 1/8/2026.</t>
  </si>
  <si>
    <t>Quá hạn 2 ngày; chưa có văn bản chính sách, cấp phê duyệt hoặc kế hoạch truy trả.</t>
  </si>
  <si>
    <t>Còn 13 ngày nhưng chưa có bất kỳ cập nhật nào về danh sách Team Leaders, quy trình đánh giá hoặc bộ KPI tháng 9/2026. Ban Điều hành cần yêu cầu Văn phòng hoàn tất phân công và đưa cơ chế đánh giá vào vận hành ngay trong tháng.</t>
  </si>
  <si>
    <t>Chỉ đạo trọng tâm nhưng chưa có nội dung cập nhật; chưa có danh sách Team Leaders, quy trình đánh giá hoặc bộ KPI.</t>
  </si>
  <si>
    <t>Nếu đã ngừng theo dõi ở đây thì xóa dòng này, và yêu cầu cập nhật BKS nơi theo dõi mới</t>
  </si>
  <si>
    <t>Chỉ đạo đã quá hạn 64 ngày nhưng các dự án công nghệ trọng yếu lại bị tạm dừng với lý do ưu tiên Core T24, trái với yêu cầu không để Core làm đình trệ các hạng mục cần thiết. Ban Điều hành cần rà soát lại quyết định tạm dừng, xác định dự án bắt buộc tiếp tục và trình kế hoạch nguồn lực, thời hạn cụ thể.</t>
  </si>
  <si>
    <t>Quá hạn 64 ngày; chưa có kế hoạch đầu tư được trình; AMLOCK, Front Arena, App và Internet Banking, Payment Hub bị tạm dừng để ưu tiên Core T24.</t>
  </si>
  <si>
    <t>Chỉ đạo đã quá hạn 57 ngày nhưng chưa có kế hoạch đầu tư được trình; việc tạm dừng toàn bộ dự án để ưu tiên Core T24 không phù hợp yêu cầu triển khai đồng bộ. Ban Điều hành cần quyết định rõ hạng mục tiếp tục, hạng mục hoãn và trách nhiệm đối với tác động phát sinh.</t>
  </si>
  <si>
    <t>Quá hạn 57 ngày; chưa có đầu ra; nhiều dự án trọng yếu bị tạm dừng nhưng không có đánh giá tác động hoặc thời hạn khôi phục.</t>
  </si>
  <si>
    <t>Việc đánh dấu hoàn thành chỉ dựa trên chuyển giao cho Ban dự án T24, không có danh mục sản phẩm chuẩn hóa hoặc kết quả loại bỏ cấu hình thủ công. Ban Điều hành cần chấn chỉnh trạng thái và yêu cầu NHBL chịu trách nhiệm đến khi đầu ra được phê duyệt.</t>
  </si>
  <si>
    <t>Báo hoàn thành nhưng mới chuyển Ban dự án thực hiện; chưa có danh mục sản phẩm, phương án chuẩn hóa hoặc bằng chứng phê duyệt.</t>
  </si>
  <si>
    <t>Yêu cầu đánh giá KPI từ tháng 9/2026 nhưng Khối Nhân sự dự kiến đến quý IV mới hoàn thành, làm mất kỳ đánh giá đầu tiên. Ban Điều hành cần yêu cầu triển khai ngay danh sách Team Leaders, bộ KPI và quy trình đánh giá trong tháng 9, không chấp nhận lùi toàn bộ sang quý IV.</t>
  </si>
  <si>
    <t>Dự kiến hoàn thành lùi từ tháng 9 đến cuối quý IV/2026; chưa có Team Leaders, quy trình hoặc kết quả đánh giá KPI.</t>
  </si>
  <si>
    <t>Nếu Core T24 hoãn tất cả dự án công nghệ, thì những chỉ thị này sẽ tồn đọng đến khi nào</t>
  </si>
  <si>
    <t>Còn trong thời hạn</t>
  </si>
  <si>
    <t>Trong tuần này phải trình phương án</t>
  </si>
  <si>
    <t>Chỉ đạo đã quá hạn 18 ngày nhưng các hạng mục chính vẫn đang thiết kế và tích hợp; chưa có kết quả lắp đặt ATM hoặc đưa trạm vào hoạt động. Ban Điều hành cần yêu cầu Trung tâm Công nghệ chốt phạm vi 168 điểm, tiến độ từng đợt và ngày vận hành thực tế.</t>
  </si>
  <si>
    <t>Quá hạn 18 ngày; đã ký hợp đồng và tạm ứng nhưng chưa có trạm được báo cáo vận hành; mẫu thẻ, ứng dụng và kế hoạch truyền thông vẫn đang hoàn thiện.</t>
  </si>
  <si>
    <t>Chỉ đạo đã quá hạn 11 ngày nhưng tiến độ mới dừng ở ký hợp đồng, tạm ứng và hoàn thiện thiết kế. Ban Điều hành cần yêu cầu báo cáo số trạm đã triển khai, công việc còn lại và ngày vận hành.</t>
  </si>
  <si>
    <t>Quá hạn 11 ngày; chưa có kết quả lắp đặt hoặc vận hành; thiết kế thẻ và tích hợp ứng dụng chưa hoàn tất.</t>
  </si>
  <si>
    <t>Văn phòng báo cáo tiến độ</t>
  </si>
  <si>
    <t>Chỉ đạo đã quá hạn 18 ngày; các hoạt động thiết kế và tích hợp đang tiếp tục nhưng chưa có kết quả lắp đặt ATM hoặc đưa trạm vào vận hành. Ban Điều hành cần yêu cầu NHBL báo cáo rõ số trạm hoàn thành, kế hoạch mở rộng đến 168 điểm và thời hạn vận hành.</t>
  </si>
  <si>
    <t>Quá hạn 18 ngày; mới thống nhất mẫu thẻ và thiết kế; ứng dụng, QR và kiosk còn đang tích hợp; chưa có trạm được xác nhận vận hành.</t>
  </si>
  <si>
    <t>Chỉ đạo đã quá hạn 11 ngày nhưng chưa có kết quả vận hành thực tế. Ban Điều hành cần yêu cầu NHBL chốt tiến độ từng trạm và ngày hoàn tất các hạng mục tích hợp.</t>
  </si>
  <si>
    <t>Quá hạn 11 ngày; chưa có trạm được xác nhận vận hành; ứng dụng và QR còn đang thực hiện.</t>
  </si>
  <si>
    <t>Còn trong thời hạn, cần cập nhật kế hoạch thực hiện với VPLĐ</t>
  </si>
  <si>
    <t>Gần hết hạn và cần VPLĐ theo dõi sát tiến độ, báo cáo Madam</t>
  </si>
  <si>
    <t>Gần hết hạn và cần VPLĐ theo dõi sát tiến độ, báo cáo cập nhật cho BKS</t>
  </si>
  <si>
    <t>Chỉ đạo đã quá hạn 33 ngày nhưng hai đầu việc chính về chuyển quyền quản lý ứng dụng và kích hoạt 900.000 khách hàng hoàn toàn chưa có kết quả. Việc dẫn lại một tính năng VNeID đã triển khai từ năm 2025 không chứng minh chỉ đạo tháng 8/2026 đã hoàn thành. Ban Điều hành cần yêu cầu báo cáo ngay trạng thái chuyển quyền store, kế hoạch truyền thông và chương trình voucher.</t>
  </si>
  <si>
    <t>Quá hạn 33 ngày; không có cập nhật về chuyển quyền App Store, Google Play hoặc chương trình 900.000 khách hàng; chỉ viện dẫn tính năng VNeID có từ trước chỉ đạo.</t>
  </si>
  <si>
    <t>Chỉ đạo đã quá hạn 26 ngày nhưng chưa có kết quả đối với hai đầu việc trọng yếu. Ban Điều hành cần yêu cầu NHBL xác định trách nhiệm, kế hoạch và thời hạn hoàn thành, không sử dụng kết quả có trước chỉ đạo để báo cáo tiến độ.</t>
  </si>
  <si>
    <t>Quá hạn 26 ngày; chưa có kết quả chuyển quyền quản lý ứng dụng hoặc chương trình kích hoạt khách hàng; nội dung không thay đổi giữa hai kỳ.</t>
  </si>
  <si>
    <t>Hai đầu việc có thời hạn 30/6 và 31/7/2026 nhưng dữ liệu đang ghi “không giao thời hạn”. Báo cáo tuần đã được thiết lập, song chưa xác nhận việc rà soát toàn bộ danh mục và kế hoạch xử lý các khoản vay rủi ro đã hoàn thành. Khối QTRR&amp;GSTT phải báo cáo VPLĐ kết quả thực hiện từng đầu việc, danh mục tồn đọng, trách nhiệm liên quan và biện pháp xử lý.</t>
  </si>
  <si>
    <t>Dữ liệu bỏ sót hai thời hạn 30/6 và 31/7/2026; báo cáo mới nêu cơ chế thực hiện định kỳ, chưa xác nhận hoàn thành toàn bộ đầu ra.</t>
  </si>
  <si>
    <t>Công việc đang trong thời hạn, còn 13 ngày. Tuy nhiên, báo cáo chưa có quy mô danh mục, giá trị đã xử lý và room tín dụng dự kiến được giải phóng. NHBL phải phối hợp Khối Tín dụng báo cáo VPLĐ tiến độ, điểm nghẽn và khả năng hoàn thành trước 30/9/2026.</t>
  </si>
  <si>
    <t>Đang trong thời hạn, còn 13 ngày; mới báo cáo đang phối hợp; chưa có kết quả định lượng.</t>
  </si>
  <si>
    <t>Công việc đang trong thời hạn, còn 20 ngày. NHBL cần báo cáo VPLĐ tiến độ xử lý danh mục, giá trị dự kiến chuyển giao và khả năng hoàn thành đúng hạn.</t>
  </si>
  <si>
    <t>Đang trong thời hạn, còn 20 ngày; chưa có số liệu về danh mục đã bán hoặc room được giải phóng.</t>
  </si>
  <si>
    <t>Công việc đến hạn trong ngày nhưng báo cáo mới nêu việc truyền thông, nhắc nhở; chưa có danh sách hồ sơ thiếu, hồ sơ chậm hoàn thiện hoặc kết quả xử lý. Khối Tín dụng phải báo cáo VPLĐ ngay trong ngày về số lượng hồ sơ tồn đọng, đơn vị chịu trách nhiệm và thời hạn khắc phục.</t>
  </si>
  <si>
    <t>Đến hạn ngày 10/9/2026; chưa có danh sách hồ sơ thiếu hoặc kết quả hoàn thiện; cập nhật chỉ dừng ở nhắc nhở.</t>
  </si>
  <si>
    <t>Đến hạn ngày 10/9/2026; báo cáo chung chung là đang triển khai; chưa có danh mục hoặc bằng chứng hoàn tất hồ sơ.</t>
  </si>
  <si>
    <t>Không đủ căn cứ đánh dấu hoàn thành.
Công việc đến hạn trong ngày nhưng chưa có kết quả rà soát hoặc xác nhận hồ sơ đã đầy đủ. Khối QTRR&amp;GSTT phải báo cáo VPLĐ ngay về danh mục hồ sơ, phần còn thiếu, trách nhiệm bổ sung và tình trạng sẵn sàng phục vụ thanh tra.</t>
  </si>
  <si>
    <t>Chỉ đạo không có thời hạn và báo cáo chưa nêu phạm vi dữ liệu đã kiểm tra, số lỗi phát hiện hoặc kết quả khắc phục. Khối QTRR&amp;GSTT phải xác lập kế hoạch kiểm soát, phân rõ trách nhiệm giữa các đơn vị và báo cáo VPLĐ kết quả định lượng theo từng kỳ.</t>
  </si>
  <si>
    <t>Không có thời hạn; chưa có phạm vi kiểm tra, số lỗi, tỷ lệ khắc phục hoặc tiêu chí hoàn thành; tiến độ không thay đổi giữa hai kỳ.</t>
  </si>
  <si>
    <t>Báo cáo chưa đi đúng trọng tâm chỉ đạo về xác thực người thụ hưởng và phương án áp dụng mô hình trước từng phần hay chờ Core. Ban Điều hành cần yêu cầu Khối Tín dụng hoàn thiện phương án, xác định thời hạn và báo cáo VPLĐ; số liệu giám sát hồ sơ không thay thế đầu ra được giao.</t>
  </si>
  <si>
    <t>Chưa có phương án xác thực người thụ hưởng hoặc thời điểm áp dụng mô hình; số hồ sơ giám sát giảm từ 39 xuống 18 nhưng không có giải thích.</t>
  </si>
  <si>
    <t>Báo cáo mới phản ánh công tác giám sát nghiệp vụ, chưa có phương án xác thực người thụ hưởng hoặc đề xuất thời điểm áp dụng mô hình. Khối Tín dụng phải báo cáo VPLĐ đúng các đầu ra được giao và đề xuất thời hạn hoàn thành.</t>
  </si>
  <si>
    <t>Không có thời hạn; chưa có phương án FaceID, SMS, Call Center hoặc quyết định áp dụng trước từng phần hay chờ Core.</t>
  </si>
  <si>
    <t>Chỉ đạo trọng tâm nhưng hoàn toàn chưa có nội dung cập nhật, đầu mối triển khai hoặc thời hạn thực hiện. Đơn vị được giao phải báo cáo VPLĐ ngay về cơ sở pháp lý, danh mục dự án, hạn mức áp dụng, cơ chế kiểm soát rủi ro và kế hoạch triển khai.</t>
  </si>
  <si>
    <t>Không có cập nhật, thời hạn, đầu mối, danh mục dự án hoặc phương án kiểm soát đối với cơ chế tài trợ đặc thù.</t>
  </si>
  <si>
    <t>Công việc đang trong thời hạn, còn một ngày. Gói 3k đã trình nhưng gói 5,5k chưa hoàn tất hồ sơ. Khối Tín dụng phải báo cáo VPLĐ trong ngày về giá trị thực tế, trạng thái phê duyệt, phần hồ sơ còn thiếu và khả năng hoàn thành trước 11/9/2026.</t>
  </si>
  <si>
    <t>Đang trong thời hạn, còn một ngày; một gói đã trình, một gói chưa hoàn tất hồ sơ; số liệu “3k” và “5,5k” chưa nêu đơn vị tính.</t>
  </si>
  <si>
    <t>Công việc đang trong thời hạn, còn 13 ngày. Gói 3k đã trình ngày 17/9 nhưng gói 5,5k vẫn đang hoàn thiện hồ sơ; chưa có số liệu room được giải phóng hoặc chất lượng danh mục giải ngân mới. Khối Tín dụng phải báo cáo VPLĐ tiến độ, kết quả định lượng và khả năng hoàn thành trước 30/9/2026.</t>
  </si>
  <si>
    <t>Đang trong thời hạn, còn 13 ngày; gói 3k đã trình, gói 5,5k chưa hoàn tất; chưa có kết quả chuyển giao hoặc room được giải phóng.</t>
  </si>
  <si>
    <t>Công việc đang trong thời hạn, còn 20 ngày. Khối Tín dụng cần báo cáo VPLĐ trạng thái từng gói, giá trị danh mục dự kiến chuyển giao và các điều kiện phải hoàn tất trước 30/9/2026.</t>
  </si>
  <si>
    <t>Đang trong thời hạn, còn 20 ngày; một gói đã trình, một gói đang hoàn thiện; chưa có kết quả phê duyệt hoặc chuyển giao.</t>
  </si>
  <si>
    <t>Công việc đến hạn trong ngày nhưng báo cáo chuyên đề chưa hoàn tất và dự kiến lùi sang 11/9/2026. Khối QTRR&amp;GSTT phải báo cáo VPLĐ ngay về tiến độ, nội dung còn thiếu và thời điểm trình Chủ tịch HĐTV; không ghi nhận hoàn thành khi mới báo cáo sơ lược với Tổng Giám đốc.</t>
  </si>
  <si>
    <t>Đến hạn ngày 10/9/2026; báo cáo chuyên đề chưa hoàn tất; dự kiến lùi sang 11/9; chưa làm rõ đầy đủ nợ xấu mới và bất cập trong định giá.</t>
  </si>
  <si>
    <t>Hồ sơ đang được trình nhưng chưa có quyết định cuối cùng hoặc tiêu chí kiểm soát việc ưu tiên khách hàng, tài sản bảo đảm và biên lợi nhuận. Khối Tín dụng cần xác định thời hạn ban hành và báo cáo VPLĐ kết quả phê duyệt, giới hạn rủi ro và cơ chế giám sát.</t>
  </si>
  <si>
    <t>Đang trình ý kiến Hội đồng tín dụng và HĐTV; chưa có quyết định hoặc thời hạn ban hành; chưa nêu tiêu chí kiểm soát cụ thể.</t>
  </si>
  <si>
    <t>Hồ sơ đang ở vòng lấy ý kiến lần hai nhưng chưa có thời hạn hoàn tất. Khối Tín dụng cần báo cáo VPLĐ tiến độ phê duyệt, các nội dung còn ý kiến khác nhau và ngày dự kiến ban hành.</t>
  </si>
  <si>
    <t>Đang lấy ý kiến Hội đồng tín dụng lần hai; chưa có quyết định hoặc thời hạn hoàn thành.</t>
  </si>
  <si>
    <t>Công việc đến hạn trong ngày nhưng Khối Tín dụng chỉ báo cáo đang phối hợp, chưa có nội dung đóng góp hoặc kết quả rà soát quy trình định giá. Khối Tín dụng phải gửi ngay phần việc thuộc trách nhiệm cho Khối QTRR&amp;GSTT và báo cáo VPLĐ kết quả thực hiện.</t>
  </si>
  <si>
    <t>Đến hạn ngày 10/9/2026; cập nhật chỉ nêu đang phối hợp; chưa có kết quả rà soát bất cập định giá hoặc nội dung báo cáo chuyên đề.</t>
  </si>
  <si>
    <t>Công việc đến hạn trong ngày nhưng chưa hoàn thành; NHBL dự kiến lùi đến 15/9/2026. NHBL phải báo cáo VPLĐ ngay danh sách hồ sơ còn thiếu, nguyên nhân, đơn vị chịu trách nhiệm và kế hoạch xử lý dứt điểm.</t>
  </si>
  <si>
    <t>Đến hạn ngày 10/9/2026 nhưng chưa hoàn thành; dự kiến lùi 5 ngày; chưa có danh sách hoặc số lượng hồ sơ tồn đọng.</t>
  </si>
  <si>
    <t>Công việc đang được thực hiện theo yêu cầu của Đoàn thanh tra. Khối Tín dụng phải tiếp tục bảo đảm hồ sơ được cung cấp đầy đủ, thống nhất nội dung giải trình với HDBank và báo cáo ngay VPLĐ mọi hồ sơ còn thiếu, yêu cầu phát sinh hoặc nguy cơ chậm cung cấp.</t>
  </si>
  <si>
    <t>Đang cung cấp hồ sơ mua bán nợ, trái phiếu và hỗ trợ giải trình; chưa có tổng hợp hồ sơ đã cung cấp, hồ sơ còn thiếu và vướng mắc phát sinh.</t>
  </si>
  <si>
    <t>Báo cáo chỉ nêu thực hiện theo phân công, chưa phản ánh phạm vi hồ sơ, tiến độ cung cấp hoặc vướng mắc. Khối Tín dụng phải báo cáo VPLĐ tình trạng hồ sơ và các vấn đề cần Ban Điều hành xử lý.</t>
  </si>
  <si>
    <t>Cập nhật chung chung; chưa có danh mục hồ sơ đã cung cấp, hồ sơ còn thiếu hoặc nội dung phối hợp với HDBank.</t>
  </si>
  <si>
    <t>Báo cáo mới dừng ở việc tiếp nhận và phối hợp, chưa có danh mục tài sản cần bảo hộ, hồ sơ đăng ký hoặc thời hạn thực hiện. MKT&amp;PR phải lập danh mục, xác định chủ sở hữu, trạng thái pháp lý và báo cáo VPLĐ kế hoạch hoàn thành từng hồ sơ.</t>
  </si>
  <si>
    <t>Không có thời hạn; chưa có danh mục tài sản, hồ sơ đăng ký hoặc kết quả bảo hộ; tiến độ không thay đổi giữa hai kỳ.</t>
  </si>
  <si>
    <t>Mốc báo cáo ngày 4/9/2026 đã qua nhưng chưa có kết quả cập nhật. NHBL phải báo cáo VPLĐ ngay danh mục tài sản cần bảo hộ, kết quả cuộc họp, hồ sơ đã nộp và tiến độ xử lý trong nước, quốc tế.</t>
  </si>
  <si>
    <t>Đã họp ngày 27/8/2026; dự kiến báo cáo ngày 4/9 nhưng chưa có kết quả; chưa nêu hồ sơ đăng ký hoặc thời hạn hoàn thành.</t>
  </si>
  <si>
    <t>Công việc đang trong thời hạn, còn 5 ngày. Dự thảo vẫn còn ý kiến chưa thống nhất và phải trình Ban Điều hành mở rộng. NHBL phải xử lý dứt điểm các ý kiến, hoàn tất ban hành trước 15/9/2026 và báo cáo tiến độ cho VPLĐ.</t>
  </si>
  <si>
    <t>Đang trong thời hạn, còn 5 ngày; dự thảo chưa được ban hành; còn ý kiến chưa thống nhất; phải hoàn tất trước 15/9/2026.</t>
  </si>
  <si>
    <t>Vướng mắc về quyền tác giả chưa được xử lý sau cuộc họp dự kiến ngày 11/9; nhãn hiệu còn chờ thẩm định và hồ sơ đồng phục đang làm hợp đồng pháp lý. MKT&amp;PR phải báo cáo VPLĐ kết quả xử lý từng nhóm tài sản, trách nhiệm của đối tác thiết kế và thời hạn hoàn tất chuyển giao quyền sở hữu.</t>
  </si>
  <si>
    <t>Vướng quyền tác giả chưa có kết quả xử lý; nhãn hiệu đang chờ thẩm định; thủ tục đồng phục chưa hoàn tất; chưa có thời hạn chung.</t>
  </si>
  <si>
    <t>Công việc đang chờ quyết định xử lý quyền tác giả tại cuộc họp ngày 11/9/2026. MKT&amp;PR phải báo cáo VPLĐ ngay sau cuộc họp về phương án xử lý, hồ sơ còn thiếu và thời hạn hoàn thành từng nội dung.</t>
  </si>
  <si>
    <t>Đang chờ ý kiến xử lý quyền tác giả ngày 11/9; nhãn hiệu chờ thẩm định; chưa hoàn tất hợp đồng pháp lý về đồng phục.</t>
  </si>
  <si>
    <t>Báo cáo “đang thực hiện theo phân công” không đủ để giám sát một chỉ đạo trọng yếu về tái cơ cấu. Khối Tín dụng phải báo cáo VPLĐ rõ nội dung được phân công, cơ sở pháp lý đã rà soát, vấn đề cần làm việc với cơ quan quản lý và kết quả đạt được.</t>
  </si>
  <si>
    <t>Không có thời hạn; cập nhật không nêu đầu việc, kết quả, vướng mắc hoặc nội dung đã làm việc với cơ quan quản lý; không thay đổi giữa hai kỳ.</t>
  </si>
  <si>
    <t>Công việc đang trong thời hạn, còn 5 ngày. Việc NHBL làm đầu mối không làm giảm trách nhiệm đồng soạn thảo của Khối QTRR&amp;GSTT. Khối phải hoàn tất ý kiến kiểm soát rủi ro, phối hợp ban hành đúng hạn và báo cáo tiến độ cho VPLĐ.</t>
  </si>
  <si>
    <t>Đang trong thời hạn, còn 5 ngày; Khối QTRR&amp;GSTT chưa nêu phần việc đã hoàn thành; tiến độ đang phụ thuộc đầu mối NHBL.</t>
  </si>
  <si>
    <t>Công việc đang trong thời hạn, còn 5 ngày. Phòng KDTT chưa báo cáo ý kiến nghiệp vụ hoặc kết quả xử lý các nội dung còn chưa thống nhất. Phòng KDTT phải hoàn tất ý kiến, phối hợp ban hành đúng hạn và báo cáo VPLĐ.</t>
  </si>
  <si>
    <t>Đang trong thời hạn, còn 5 ngày; cập nhật chỉ chuyển trách nhiệm trả lời cho NHBL-SME; chưa nêu kết quả xử lý của Phòng KDTT.</t>
  </si>
  <si>
    <t>Khối TCKH đã hoàn thành báo cáo thực trạng và đang cung cấp thông tin để điều chỉnh Phương án chuyển giao bắt buộc. Khối phải tiếp tục báo cáo VPLĐ các cơ chế hỗ trợ đề xuất, nội dung còn vướng với cơ quan quản lý và tiến độ hoàn thiện phương án cập nhật.</t>
  </si>
  <si>
    <t>Đã có báo cáo thực trạng đến 30/6/2026; phương án chuyển giao bắt buộc vẫn đang cập nhật; chưa có thời hạn hoàn tất hoặc kết quả làm việc với cơ quan quản lý.</t>
  </si>
  <si>
    <t>Việc chờ NHBL yêu cầu không đáp ứng trách nhiệm phối hợp chủ động trong rà soát tuân thủ. Khối QTRR&amp;GSTT phải xác định ngay phạm vi rà soát, quy định pháp luật và kiến nghị thanh tra cần xử lý, gửi ý kiến kiểm soát cho NHBL và báo cáo VPLĐ.</t>
  </si>
  <si>
    <t>Đánh dấu hoàn thành nhưng chưa thực hiện rà soát; chỉ nêu sẽ phối hợp khi có yêu cầu; chưa có danh mục sản phẩm hoặc kết quả tuân thủ.</t>
  </si>
  <si>
    <t>Cơ chế theo dõi đã được thiết lập nhưng báo cáo chưa nêu danh mục văn bản ưu tiên, tiến độ sửa đổi hoặc văn bản đã ban hành lại. Tổ rà soát phải báo cáo VPLĐ định kỳ về số lượng văn bản, mức độ rủi ro, đơn vị chịu trách nhiệm và thời hạn xử lý.</t>
  </si>
  <si>
    <t>Có nhân sự theo dõi và báo cáo định kỳ nhưng chưa có danh mục văn bản ưu tiên, kết quả rà soát hoặc kế hoạch hoàn thành.</t>
  </si>
  <si>
    <t>Công việc đang trong thời hạn, còn 5 ngày; dự thảo chưa được ban hành và vẫn còn nội dung phải thống nhất. NHBL phải hoàn tất phê duyệt trước 15/9/2026 và báo cáo tiến độ cho VPLĐ, không đánh dấu hoàn thành trước khi có văn bản ban hành chính thức.</t>
  </si>
  <si>
    <t>Đang trong thời hạn, còn 5 ngày; dự thảo đang trình ký; chưa có quyết định hoặc hướng dẫn được ban hành.</t>
  </si>
  <si>
    <t>Báo cáo không nêu bất kỳ nội dung thực hiện cụ thể nào đối với cơ sở pháp lý, giới hạn quản lý hoặc cơ chế hỗ trợ đặc thù. Khối QTRR&amp;GSTT phải báo cáo VPLĐ phần việc được phân công, kết quả rà soát và các vấn đề cần xin ý kiến cơ quan quản lý.</t>
  </si>
  <si>
    <t>Cập nhật chỉ nêu thực hiện theo phân công; không có đầu ra, kết quả, vướng mắc hoặc thời hạn; nội dung không thay đổi giữa hai kỳ.</t>
  </si>
  <si>
    <t>Việc “nhận chỉ đạo và thực hiện thường xuyên” không phải kết quả rà soát. NHBL phải lập danh mục toàn bộ sản phẩm, xác định nội dung không còn phù hợp với pháp luật hoặc kiến nghị thanh tra, quy rõ đơn vị xử lý và báo cáo VPLĐ tiến độ thực hiện.</t>
  </si>
  <si>
    <t>Chưa có danh mục sản phẩm, kết quả rà soát, nội dung cần điều chỉnh hoặc thời hạn hoàn thành; cập nhật không thay đổi giữa hai kỳ.</t>
  </si>
  <si>
    <t>Đã xây dựng BRD, thống nhất luồng nhận quà và chuẩn bị UAT; công việc có chuyển động thực chất nhưng chưa xác định ngày vận hành và phương án giao nhận. K.QLKPP cần báo cáo VPLĐ kế hoạch triển khai tháng 10/2026, tiêu chí nghiệm thu, phương án quản lý kho quà và lựa chọn đối tác giao nhận.</t>
  </si>
  <si>
    <t>Đã có BRD, luồng nghiệp vụ và phân công UAT; chưa có ngày vận hành hoặc đối tác giao nhận; nội dung hai kỳ báo cáo không thay đổi.</t>
  </si>
  <si>
    <t>Chỉ đạo từ tháng 6/2025 nhưng đến nay vẫn chưa lựa chọn được đối tác hoặc có kế hoạch sản xuất được phê duyệt. MKT&amp;PR cần báo cáo VPLĐ phương án tiếp tục hoặc đề xuất dừng theo dõi, tránh duy trì kéo dài một công việc chưa có tính khả thi rõ ràng.</t>
  </si>
  <si>
    <t>Theo dõi từ tháng 6/2025; ba đối tác không phản hồi, một phương án còn chờ duyệt; không có tiến triển giữa hai kỳ báo cáo.</t>
  </si>
  <si>
    <t>Công việc đang trong thời hạn, còn 5 ngày nhưng mới dừng ở bước tìm đơn vị dịch vụ. Văn phòng cần khẩn trương xác nhận hồ sơ của từng thành viên, hoàn tất lựa chọn đơn vị thực hiện và báo cáo tiến độ cho VPLĐ trước ngày 15/9/2026.</t>
  </si>
  <si>
    <t>Đang trong thời hạn, còn 5 ngày; mới khảo sát đơn vị dịch vụ; chưa có hồ sơ được xác nhận đã nộp.</t>
  </si>
  <si>
    <t>Nguyên tắc xử lý vướng mắc mua sắm đã được Tổng Giám đốc thống nhất, nhưng danh mục quà tặng năm 2026 chưa được xác nhận hoàn tất. MKT&amp;PR cần báo cáo VPLĐ tiến độ chốt danh mục, các nội dung quy trình cần sửa đổi và kết quả áp dụng cơ chế phối hợp mới.</t>
  </si>
  <si>
    <t>Đã thống nhất nguyên tắc xử lý giữa MKT&amp;PR và BPMS; danh mục quà tặng vẫn đang hoàn thiện; nội dung hai kỳ báo cáo không thay đổi.</t>
  </si>
  <si>
    <t>Sau gần bốn tháng, báo cáo vẫn chỉ nêu đã nhận chỉ đạo, chưa có biểu mẫu, kịch bản hoặc bộ tiêu chuẩn được ban hành. MKT&amp;PR cần báo cáo VPLĐ đầu ra cụ thể và thời hạn hoàn thành; trường hợp không còn cần thiết thì đề xuất dừng theo dõi.</t>
  </si>
  <si>
    <t>Theo dõi từ tháng 5/2026; chưa có biểu mẫu hoặc kịch bản; cập nhật không thay đổi giữa hai kỳ báo cáo.</t>
  </si>
  <si>
    <t>Một số đầu ra về hình ảnh đơn vị kinh doanh và booth chuẩn đã hoàn thành, nhưng Brand Book, chuẩn POSM, hệ thống quản trị thương hiệu, tỷ lệ đào tạo CBNV và KPI đại sứ thương hiệu chưa có kết quả đầy đủ. MKT&amp;PR cần báo cáo VPLĐ danh mục đã hoàn thành, phần còn lại và thời hạn kết thúc từng nội dung.</t>
  </si>
  <si>
    <t>Đã ban hành chuẩn hình ảnh và hoàn thành booth chuẩn; Brand Book còn chờ mua sắm, chuẩn POSM đang xây dựng; chưa có số liệu đào tạo hoặc KPI thương hiệu; hai kỳ không có thay đổi.</t>
  </si>
  <si>
    <t>Chương trình có tác động trực tiếp đến phân khúc khách hàng, CASA, khách hàng hoạt động và hiệu quả chiến dịch nhưng hồ sơ mua sắm đã đình trệ nhiều tháng. MKT&amp;PR và MSTT phải báo cáo VPLĐ điểm nghẽn, trách nhiệm xử lý, thời hạn lựa chọn nhà cung cấp và kế hoạch triển khai; không tiếp tục ghi nhận đúng tiến độ khi chưa hoàn tất mua sắm.</t>
  </si>
  <si>
    <t>Tờ trình hoàn thành từ 29/4/2026, đánh giá nhà cung cấp hoàn tất ngày 10/7 nhưng đến 17/9 vẫn chưa có kết quả lựa chọn; nội dung không thay đổi giữa hai kỳ.</t>
  </si>
  <si>
    <t>Hồ sơ đã qua nhiều vòng xử lý nhưng chưa lựa chọn được nhà cung cấp, làm chậm toàn bộ lộ trình marketing theo dữ liệu. MKT&amp;PR và MSTT phải báo cáo VPLĐ tình trạng hồ sơ, nội dung còn thiếu và thời hạn xử lý dứt điểm.</t>
  </si>
  <si>
    <t>Hồ sơ triển khai từ tháng 4/2026; đánh giá nhà cung cấp đã hoàn thành nhưng quy trình mua sắm chưa kết thúc.</t>
  </si>
  <si>
    <t>Báo cáo chưa cho biết cơ chế thanh toán trực tiếp đã được áp dụng cho trường hợp nào, giá trị bao nhiêu và có rút ngắn tiến độ hay không. MKT&amp;PR cần báo cáo VPLĐ kết quả áp dụng thực tế và các hạng mục còn bị chậm do phụ thuộc Axis.</t>
  </si>
  <si>
    <t>Chưa có trường hợp áp dụng, giá trị thanh toán hoặc kết quả xử lý cụ thể; nội dung không thay đổi giữa hai kỳ.</t>
  </si>
  <si>
    <t>Chương trình có ngân sách 5,8 tỷ đồng nhưng quà tặng chưa được phân phối đầy đủ, phải sử dụng hàng tồn kho để duy trì triển khai. NHBL cần báo cáo VPLĐ số lượng quà đã nhận, đã phân bổ, phần còn thiếu, ảnh hưởng đến huy động và khả năng hoàn tất trước 30/9/2026.</t>
  </si>
  <si>
    <t>Ngân sách 5,8 tỷ đồng đã được phê duyệt; quà mới chưa giao đầy đủ nên phải dùng hàng tồn kho; mốc phân bổ từ 25/8 chưa có kết quả cập nhật; hai kỳ báo cáo giống nhau.</t>
  </si>
  <si>
    <t>Việc chậm mua sắm và sản xuất quà tặng có thể ảnh hưởng trực tiếp đến chương trình huy động. NHBL cần báo cáo VPLĐ tiến độ giao quà, phương án xử lý thiếu hụt và khả năng hoàn tất trước 30/9/2026.</t>
  </si>
  <si>
    <t>Quà mới chưa được giao cho đơn vị kinh doanh; đang sử dụng hàng tồn kho để duy trì chương trình; dự kiến hoàn tất trước 30/9/2026.</t>
  </si>
  <si>
    <t>MKT&amp;PR chưa cung cấp khung giờ, địa điểm và danh sách nhà cung cấp để các khu vực kiểm tra, nghiệm thu. Đơn vị cần hoàn thiện thông tin kiểm soát và báo cáo VPLĐ; không cần duy trì mức tập trung cao nếu đây chỉ là hoạt động truyền thông tác nghiệp.</t>
  </si>
  <si>
    <t>Chưa chốt địa điểm hoặc lịch phát; chưa có hồ sơ nghiệm thu; nội dung không thay đổi giữa hai kỳ báo cáo.</t>
  </si>
  <si>
    <t>MKT&amp;PR đang phụ thuộc hoàn toàn vào tiến độ phát triển sản phẩm thẻ, nhưng chưa có kế hoạch truyền thông, kịch bản ra mắt hoặc mức độ sẵn sàng của các khu vực. Đơn vị cần báo cáo VPLĐ kế hoạch theo từng sản phẩm thẻ, điều kiện kích hoạt truyền thông và đầu việc cần chuẩn bị trước ngày ra mắt.</t>
  </si>
  <si>
    <t>Theo dõi từ tháng 10/2025; chưa có kế hoạch truyền thông hoặc bán hàng cụ thể; cập nhật không thay đổi giữa hai kỳ.</t>
  </si>
  <si>
    <t>Đã có tiến triển mới khi TTCN chốt luồng hành trình và phân công công việc ngày 14/9/2026. NHBL cần báo cáo VPLĐ phạm vi áp dụng, kế hoạch phát triển, kiểm thử, đối tác giao nhận và ngày đưa dịch vụ vào vận hành.</t>
  </si>
  <si>
    <t>Đã chốt luồng hành trình và phân công công việc; mới áp dụng tại đơn vị kinh doanh hoặc Hub Vikki; chưa có ngày kiểm thử và vận hành.</t>
  </si>
  <si>
    <t>Công việc đang ở giai đoạn thống nhất giải pháp, TTCN và FinX chưa phản hồi thời gian triển khai. NHBL cần báo cáo VPLĐ tiến độ phối hợp và ngày dự kiến hoàn thành thiết kế, kiểm thử.</t>
  </si>
  <si>
    <t>Đã họp thống nhất phạm vi nhưng chưa chốt luồng cuối cùng, phân công hoặc thời gian triển khai.</t>
  </si>
  <si>
    <t>Đây là chỉ đạo điều hành có tác động trực tiếp đến hiệu quả các chương trình kinh doanh, nhưng báo cáo mới chỉ nêu đã tiếp nhận và phối hợp, chưa có danh mục chương trình, tiến độ hoặc trường hợp chậm cần xử lý. MKT&amp;PR phải báo cáo VPLĐ các chương trình đang triển khai, điểm nghẽn hành chính, tác động kinh doanh và trách nhiệm khắc phục.</t>
  </si>
  <si>
    <t>Chưa có danh mục chương trình, tiến độ, kết quả hoặc trường hợp chậm cụ thể; nội dung không thay đổi giữa hai kỳ báo cáo.</t>
  </si>
  <si>
    <t>Đã ban hành chính sách cấp thẻ cho 37 nhóm khách hàng và chuẩn bị sản phẩm JCB, cho thấy công việc có đầu ra thực chất. Tuy nhiên, báo cáo chưa thể hiện các combo theo nghề nghiệp như bác sĩ, giáo viên, bảo vệ và chưa có kết quả trình Hội đồng Sản phẩm theo kế hoạch tháng 8/2026. Trung tâm Thẻ cần báo cáo VPLĐ tình trạng phê duyệt sản phẩm, kế hoạch ra mắt và phạm vi cá nhân hóa còn phải hoàn thành.</t>
  </si>
  <si>
    <t>Đã ban hành chính sách cho 37 nhóm khách hàng, hoàn thành thiết kế thẻ và chuẩn bị pilot JCB; chưa có combo theo nghề nghiệp hoặc kết quả trình Hội đồng Sản phẩm; không có tiến triển giữa hai kỳ báo cáo.</t>
  </si>
  <si>
    <t>Chương trình đã hoàn thành kiểm thử, pilot và đưa vào vận hành diện rộng ngày 14/9/2026. Trung tâm Thẻ cần báo cáo VPLĐ kết quả vận hành ban đầu, số khách hàng tham gia, giao dịch phát sinh, chi phí hoàn tiền và lỗi còn tồn tại để xem xét công nhận hoàn thành.</t>
  </si>
  <si>
    <t>Đã nghiệm thu đối soát, pilot ngày 24/8 và triển khai diện rộng ngày 14/9/2026; chưa có số liệu vận hành hoặc xác nhận hoàn thành sau triển khai.</t>
  </si>
  <si>
    <t>Công việc đang trong thời gian triển khai quý III/2026; đã hoàn thành kiểm thử, nghiệm thu đối soát và pilot, dự kiến triển khai diện rộng ngày 14/9/2026. Trung tâm Thẻ cần báo cáo VPLĐ kết quả triển khai, lỗi phát sinh và khả năng hoàn thành kế hoạch quý III.</t>
  </si>
  <si>
    <t>Đã hoàn thành kiểm thử, nghiệm thu và pilot; dự kiến triển khai diện rộng ngày 14/9/2026.</t>
  </si>
  <si>
    <t>Đây là chỉ tiêu kinh doanh trọng yếu nhưng báo cáo chỉ liệt kê sản phẩm và chương trình ưu đãi, không cung cấp kết quả so với ba mục tiêu gồm một triệu thẻ, tỷ lệ hoạt động tối thiểu 60% và CASA bình quân 15 triệu đồng mỗi thẻ. Trung tâm Thẻ phải báo cáo VPLĐ số thẻ lũy kế, tỷ lệ hoạt động, CASA bình quân, khoảng cách đến mục tiêu và khả năng hoàn thành trong năm 2026.</t>
  </si>
  <si>
    <t>Có nhiều sản phẩm và ưu đãi đã triển khai nhưng không có số liệu về số thẻ phát hành, tỷ lệ hoạt động hoặc CASA bình quân; nội dung không thay đổi giữa hai kỳ báo cáo.</t>
  </si>
  <si>
    <t>Công cụ bán hàng, tài liệu và đào tạo đã được triển khai, nhưng chưa có kết quả về kế hoạch truyền thông dự kiến trình từ ngày 8/8/2026, bộ KPI, thử nghiệm nội bộ và quy trình ra mắt chuẩn áp dụng chung. Ban Dự án cần báo cáo VPLĐ phần việc đã hoàn thành, phần còn thiếu và thời hạn ban hành bộ quy trình đầy đủ.</t>
  </si>
  <si>
    <t>Đã có saleskit, kịch bản bán hàng và đào tạo; kế hoạch truyền thông dự kiến trình ngày 8/8 chưa có kết quả; chưa có bộ KPI hoặc quy trình ra mắt hoàn chỉnh; hai kỳ không có tiến triển.</t>
  </si>
  <si>
    <t>Dự án đã có một số đầu ra gồm lắp đặt ATM, phê duyệt mua 10 máy nhả thẻ và xác định luồng giao dịch, nhưng hiện vẫn chờ quyết định tổng thể về hiệu quả hợp tác. Trung tâm Thẻ cần báo cáo VPLĐ phương án tài chính, hiệu quả dự kiến, trạng thái mua và lắp đặt máy, kết quả đàm phán thẻ tín dụng, trả lương và đề xuất tiếp tục hoặc điều chỉnh dự án.</t>
  </si>
  <si>
    <t>ATM đã lắp đặt; mua 10 máy nhả thẻ đã được phê duyệt nhưng chưa có kết quả triển khai; hợp tác thẻ tín dụng và trả lương còn đàm phán; không có tiến triển giữa hai kỳ báo cáo.</t>
  </si>
  <si>
    <t>Đã phát hành khoảng 2.500 thẻ cho sinh viên UEF nhưng chưa đủ căn cứ xác nhận hoàn thành toàn bộ chỉ đạo. Báo cáo chưa thể hiện kết quả làm việc với Mastercard, cổng API cho hơn 2 triệu sinh viên, phối hợp Bộ Giáo dục và Đào tạo, C06 hoặc kế hoạch mở rộng sang các trường khác. Trung tâm Thẻ phải báo cáo VPLĐ đầy đủ các đầu ra còn thiếu và kế hoạch mở rộng chương trình.</t>
  </si>
  <si>
    <t>Quá hạn 10 ngày; mới triển khai tại UEF với khoảng 2.500 thẻ; chưa có kết quả về tài trợ phôi thẻ, API, phối hợp Bộ Giáo dục và Đào tạo, C06 hoặc mở rộng toàn thị trường.</t>
  </si>
  <si>
    <t>Chỉ còn 13 ngày nhưng NHBL vẫn chưa xác định được hướng triển khai và không có chuyển biến so với kỳ trước. Ban Điều hành cần quyết định ngay phạm vi khả thi, đầu mối làm việc với MISA và cơ quan thuế, phương án kết nối API, phạm vi AI Agent và phần việc có thể hoàn thành trước 30/9/2026. NHBL phải báo cáo tiến độ cho VPLĐ.</t>
  </si>
  <si>
    <t>Đang trong thời hạn, còn 13 ngày; chưa có phương án, đầu mối đối tác, thiết kế API hoặc mô hình AI Agent; không có tiến triển giữa hai kỳ.</t>
  </si>
  <si>
    <t>Công việc đang trong thời hạn, còn 20 ngày nhưng chưa xác định được hướng triển khai. NHBL cần khẩn trương xin ý kiến Ban Điều hành và báo cáo VPLĐ phương án, đầu mối và lộ trình thực hiện.</t>
  </si>
  <si>
    <t>Đang trong thời hạn, còn 20 ngày; chưa có phương án triển khai; đang chờ xếp lịch Ban Điều hành.</t>
  </si>
  <si>
    <t>Chỉ đạo đã quá hạn 18 ngày; mốc trình điều chỉnh ngày 15/9/2026 cũng đã qua nhưng chưa có kết quả phê duyệt. Đây là nội dung trực tiếp kiểm soát chất lượng tín dụng thẻ. Trung tâm Thẻ phải báo cáo VPLĐ ngay tình trạng hồ sơ, kết quả rà soát blacklist, rủi ro tập trung địa bàn và ngày đưa bộ quy tắc mới vào áp dụng.</t>
  </si>
  <si>
    <t>Quá hạn 18 ngày; mốc trình ngày 15/9 đã qua; mới có dự thảo và khởi động điều chỉnh; chưa có bộ Rule Scoring được phê duyệt.</t>
  </si>
  <si>
    <t>Chỉ đạo đã quá hạn 11 ngày nhưng dự thảo đang được hoàn thiện và dự kiến trình ngày 15/9/2026. Trung tâm Thẻ phải báo cáo VPLĐ tiến độ phê duyệt và bảo đảm đầy đủ cơ chế giới hạn địa bàn, nghề nghiệp, CIC và blacklist.</t>
  </si>
  <si>
    <t>Quá hạn 11 ngày; đang hoàn thiện dự thảo; dự kiến trình ngày 15/9; chưa có bộ quy tắc được phê duyệt.</t>
  </si>
  <si>
    <t>Chỉ đạo đã quá hạn 25 ngày. Sales Kit và dashboard đã hoàn thành nhưng Playbook vẫn đang điều chỉnh, chưa có phê duyệt rollout chính thức. NHBL cần báo cáo VPLĐ nội dung còn phải chỉnh sửa, ngày phê duyệt Playbook và thời điểm triển khai sản phẩm ra thị trường.</t>
  </si>
  <si>
    <t>Quá hạn 25 ngày; Sales Kit và dashboard đã hoàn thành; Playbook còn chỉnh sửa; chưa có quyết định rollout chính thức; không có tiến triển giữa hai kỳ.</t>
  </si>
  <si>
    <t>Chỉ đạo đã quá hạn 18 ngày; các công cụ bán hàng cơ bản đã hoàn thành nhưng Playbook và phê duyệt rollout còn tồn tại. NHBL cần báo cáo VPLĐ ngày hoàn tất và điều kiện triển khai chính thức.</t>
  </si>
  <si>
    <t>Quá hạn 18 ngày; Sales Kit và dashboard đã có; Playbook chưa hoàn tất; rollout chưa được phê duyệt.</t>
  </si>
  <si>
    <t>Chỉ còn 13 ngày nhưng Trung tâm Công nghệ vẫn chưa xác định được hướng triển khai và không có chuyển biến so với kỳ trước. Ban Điều hành cần quyết định ngay phạm vi kỹ thuật, đầu mối kết nối MISA và cơ quan thuế, thiết kế API, yêu cầu dữ liệu và tính khả thi của AI Agent. Trung tâm Công nghệ phải báo cáo tiến độ cho VPLĐ.</t>
  </si>
  <si>
    <t>Đang trong thời hạn, còn 13 ngày; chưa có kiến trúc giải pháp, API, yêu cầu dữ liệu hoặc phạm vi AI Agent; không có tiến triển giữa hai kỳ.</t>
  </si>
  <si>
    <t>Công việc đang trong thời hạn, còn 20 ngày nhưng chưa có giải pháp kỹ thuật. Trung tâm Công nghệ cần khẩn trương xin ý kiến Ban Điều hành và báo cáo VPLĐ phương án khả thi, nguồn lực và lộ trình triển khai.</t>
  </si>
  <si>
    <t>Đang trong thời hạn, còn 20 ngày; chưa có hướng triển khai; đang chờ Ban Điều hành hướng dẫn.</t>
  </si>
  <si>
    <t>Chỉ đạo đã quá hạn 25 ngày. Công cụ bán hàng và dashboard đã hoàn thành, nhưng Playbook vẫn đang chỉnh sửa và kế hoạch rollout chưa được phê duyệt. Trung tâm Công nghệ cần báo cáo VPLĐ phần việc thuộc trách nhiệm kỹ thuật, điều kiện sẵn sàng và ngày triển khai chính thức.</t>
  </si>
  <si>
    <t>Quá hạn 25 ngày; Sales Kit và dashboard đã hoàn thành; Playbook còn điều chỉnh; chưa có phê duyệt rollout; không có tiến triển giữa hai kỳ.</t>
  </si>
  <si>
    <t>Chỉ đạo đã quá hạn 18 ngày nhưng còn thiếu Playbook hoàn chỉnh và phê duyệt rollout. Trung tâm Công nghệ cần phối hợp NHBL chốt đầu ra và báo cáo VPLĐ ngày triển khai.</t>
  </si>
  <si>
    <t>Quá hạn 18 ngày; các công cụ cơ bản đã có; Playbook và phê duyệt rollout chưa hoàn tất.</t>
  </si>
  <si>
    <t>Chỉ đạo đã quá hạn 34 ngày; mốc trình ký ngày 14/9/2026 cũng đã qua nhưng chưa có kết quả. Quy tắc giám sát giao dịch đã được điều chỉnh, song tiêu chí cấp hạn mức tự động 3 triệu đồng chưa được phê duyệt. Trung tâm Thẻ phải báo cáo VPLĐ tình trạng trình ký, kết quả thẩm định rủi ro và ngày áp dụng chính thức.</t>
  </si>
  <si>
    <t>Quá hạn 34 ngày; mốc trình ngày 14/9 đã qua; quy tắc giám sát đã cài đặt nhưng hạn mức tự động chưa được phê duyệt; không có cập nhật mới.</t>
  </si>
  <si>
    <t>Chỉ đạo đã quá hạn 27 ngày nhưng hồ sơ đã được gửi lấy ý kiến và dự kiến trình ký ngày 14/9/2026. Trung tâm Thẻ cần báo cáo VPLĐ kết quả thẩm định và bảo đảm cân bằng giữa trải nghiệm sử dụng thẻ với kiểm soát rủi ro tín dụng, gian lận.</t>
  </si>
  <si>
    <t>Quá hạn 27 ngày; hồ sơ đang lấy ý kiến Pháp chế, QTRR và Tín dụng; dự kiến trình ngày 14/9; quy tắc giám sát giao dịch đã được cài đặt.</t>
  </si>
  <si>
    <t>Chỉ còn 13 ngày nhưng tiến độ hiện tại không bao phủ các hệ thống được giao gồm đất đai, cấp phép doanh nghiệp, xây dựng, hạ tầng công ích, quản lý công chức và đóng góp từ thiện. NHBL phải báo cáo VPLĐ ma trận từng hạng mục, cơ quan phối hợp, trạng thái kết nối và phạm vi có thể hoàn thành trước 30/9/2026.</t>
  </si>
  <si>
    <t>Đang trong thời hạn, còn 13 ngày; cập nhật chỉ liên quan cổng thanh toán, BHXH và dịch vụ công; chưa có kết quả đối với phần lớn hệ thống trong chỉ đạo; không có tiến triển giữa hai kỳ.</t>
  </si>
  <si>
    <t>Công việc đang trong thời hạn, còn 20 ngày nhưng báo cáo chưa bám đầy đủ phạm vi chỉ đạo. NHBL cần báo cáo VPLĐ kế hoạch từng kết nối và xác định rõ đầu ra dự kiến hoàn thành trong quý III/2026.</t>
  </si>
  <si>
    <t>Đang trong thời hạn, còn 20 ngày; chưa có kết quả kết nối các hệ thống chuyên ngành hoặc tính năng đóng góp từ thiện.</t>
  </si>
  <si>
    <t>Chỉ còn 13 ngày; đã có tiến triển về thiết kế thẻ, Trạm Công dân số và tích hợp SDK nhưng chưa phản ánh các kết nối đất đai, cấp phép, hạ tầng công ích, quản lý công chức và đóng góp từ thiện. Trung tâm Công nghệ phải báo cáo VPLĐ phạm vi đã hoàn thành, phần việc chưa triển khai và kế hoạch xử lý sau 30/9/2026.</t>
  </si>
  <si>
    <t>Đang trong thời hạn, còn 13 ngày; đã thống nhất thiết kế và triển khai tích hợp ứng dụng nhưng chưa bao phủ phần lớn hệ thống chuyên ngành; nội dung không thay đổi giữa hai kỳ.</t>
  </si>
  <si>
    <t>Công việc đang trong thời hạn, còn 20 ngày; đã có một số đầu ra về thiết kế và tích hợp nhưng chưa bám đầy đủ phạm vi chỉ đạo. Trung tâm Công nghệ cần báo cáo VPLĐ ma trận kết nối, trạng thái và ngày hoàn thành từng hạng mục.</t>
  </si>
  <si>
    <t>Đang trong thời hạn, còn 20 ngày; đã có hoạt động thiết kế và tích hợp; chưa có kết quả đối với các hệ thống chuyên ngành và tính năng từ thiện.</t>
  </si>
  <si>
    <t>Chỉ còn 13 ngày nhưng dự án mới dừng ở thiết kế dây, nguồn chờ và phân công; chưa lắp đặt camera, kiểm soát ra vào hoặc tích hợp thanh toán, thấu chi, trả lương. Trung tâm Công nghệ phải báo cáo VPLĐ kế hoạch nghiệm thu từng cấu phần và khả năng hoàn thành trước 30/9/2026.</t>
  </si>
  <si>
    <t>Đang trong thời hạn, còn 13 ngày; mới chuẩn bị hạ tầng; chưa lắp thiết bị hoặc tích hợp chức năng thẻ; không có tiến triển giữa hai kỳ.</t>
  </si>
  <si>
    <t>Công việc đang trong thời hạn, còn 20 ngày nhưng mới ở bước chuẩn bị hạ tầng. Trung tâm Công nghệ cần báo cáo VPLĐ tiến độ thiết bị, tích hợp hệ thống và khả năng hoàn thành đúng hạn.</t>
  </si>
  <si>
    <t>Đang trong thời hạn, còn 20 ngày; chưa lắp đặt thiết bị hoặc triển khai các chức năng thanh toán, thấu chi, trả lương.</t>
  </si>
  <si>
    <t>Chỉ đạo đã quá hạn 54 ngày. Trung tâm Thẻ đã rà soát và siết một số tiêu chí, nhưng các nội dung trọng yếu về mô hình chấm điểm, cơ chế quản lý tập trung thẻ số và chính sách cấp hạn mức mới chưa hoàn tất; mốc trình ngày 14/9 cũng không có kết quả cập nhật. Ban Điều hành cần yêu cầu báo cáo VPLĐ tình trạng phê duyệt, số liệu nợ thẻ sau điều chỉnh và hiệu quả kiểm soát rủi ro.</t>
  </si>
  <si>
    <t>Quá hạn 54 ngày; đã điều chỉnh một số tiêu chí nhưng mô hình chấm điểm và cơ chế quản lý tập trung chưa hoàn tất; mốc trình 14/9 đã qua; không có tiến triển giữa hai kỳ.</t>
  </si>
  <si>
    <t>Chỉ đạo đã quá hạn 47 ngày; đã có báo cáo chất lượng nợ và giới hạn lại một số tiêu chí, nhưng chính sách điều chỉnh chưa hoàn tất. Trung tâm Thẻ phải báo cáo VPLĐ kết quả trình ký, cơ chế quản lý thẻ phát hành qua kênh số và tiến độ triển khai mô hình chấm điểm mới.</t>
  </si>
  <si>
    <t>Quá hạn 47 ngày; đã có báo cáo chất lượng nợ và điều chỉnh sơ bộ; mô hình chấm điểm, hạn mức mới và quản lý tập trung vẫn đang xử lý.</t>
  </si>
  <si>
    <t>Chỉ đạo đã quá hạn 17 ngày. Sản phẩm “Cho vay căn hộ nhanh” đã được triển khai thí điểm tại TP.HCM nhưng chưa phải triển khai toàn quốc; mô hình “Hưu trí Hub” vẫn đang hoàn thiện. NHBL phải báo cáo VPLĐ phạm vi đã phê duyệt, kế hoạch mở rộng toàn quốc và tiến độ hoàn thành Hưu trí Hub.</t>
  </si>
  <si>
    <t>Quá hạn 17 ngày; “Cho vay căn hộ nhanh” mới thí điểm tại TP.HCM; Hưu trí Hub đang tiếp tục rà soát; chưa hoàn thành đầy đủ hai đầu ra.</t>
  </si>
  <si>
    <t>Chỉ đạo đã quá hạn 10 ngày. Một sản phẩm đã được triển khai thí điểm, Hưu trí Hub đã được phê duyệt chủ trương nhưng chưa hoàn tất triển khai. NHBL cần báo cáo VPLĐ kế hoạch hoàn thành từng đầu ra và lộ trình mở rộng toàn quốc.</t>
  </si>
  <si>
    <t>Quá hạn 10 ngày; một sản phẩm mới thí điểm tại TP.HCM; Hưu trí Hub chưa có kết quả triển khai hoàn chỉnh.</t>
  </si>
  <si>
    <t>Chỉ đạo đã quá hạn 62 ngày nhưng toàn bộ tiến độ vẫn dừng ở việc chờ Khối Nhân sự trình HĐTV. Chưa có kết quả phỏng vấn, đánh giá, phương án lương thưởng, chuyển giao hoặc thông tin chính thức cho người lao động. Ban Điều hành phải xử lý dứt điểm điểm nghẽn, xác định trách nhiệm và báo cáo VPLĐ ngày hoàn thành cụ thể.</t>
  </si>
  <si>
    <t>Quá hạn 62 ngày; chưa chuyển giao 22 nhân sự; chưa có phương án lương thưởng hoặc thông tin cho người lao động; không có tiến triển giữa hai kỳ.</t>
  </si>
  <si>
    <t>Chỉ đạo đã quá hạn 55 ngày nhưng chưa có phương án chính thức đối với 22 nhân sự. Ban Điều hành cần yêu cầu Khối Nhân sự trình phương án, đồng thời báo cáo VPLĐ thời hạn xử lý và trách nhiệm của từng đơn vị.</t>
  </si>
  <si>
    <t>Quá hạn 55 ngày; công việc vẫn chờ Khối Nhân sự; chưa có kết quả chuyển giao, đánh giá hoặc thông tin cho người lao động.</t>
  </si>
  <si>
    <t>Chỉ đạo đã quá hạn 79 ngày và chưa có chuyển biến so với kỳ trước. Dự thảo phía Vikki Bank đã hoàn tất nhưng chính sách vẫn chờ HDBank ban hành, trong khi chỉ còn đến cuối tháng 9 theo mốc dự kiến. NHBL phải báo cáo VPLĐ điểm nghẽn, đầu mối xử lý phía HDBank và khả năng đưa quy trình online, offline vào vận hành.</t>
  </si>
  <si>
    <t>Quá hạn 79 ngày; dự kiến hoàn thành lùi đến tháng 9/2026; chính sách phía HDBank chưa ban hành; không có tiến triển giữa hai kỳ.</t>
  </si>
  <si>
    <t>Chỉ đạo đã quá hạn 72 ngày; dự thảo đã hoàn tất nhưng việc ban hành vẫn phụ thuộc HDBank. NHBL cần báo cáo VPLĐ tiến độ phối hợp, nội dung còn vướng và ngày vận hành dự kiến.</t>
  </si>
  <si>
    <t>Quá hạn 72 ngày; dự thảo đã hoàn tất nhưng chưa được ban hành; dự kiến hoàn thành lùi đến tháng 9/2026.</t>
  </si>
  <si>
    <t>Chỉ đạo đã quá hạn 41 ngày. Khối QTRR&amp;GSTT đã thiết lập báo cáo tuần và phân tách danh mục tín dụng, nhưng chưa xác nhận đã rà soát đầy đủ các khoản vay rủi ro, làm rõ trách nhiệm và lập kế hoạch xử lý toàn bộ tồn đọng. Khối phải báo cáo VPLĐ kết quả định lượng, danh mục rủi ro trọng yếu và tình trạng xử lý từng khoản.</t>
  </si>
  <si>
    <t>Quá hạn 41 ngày; đã có báo cáo tuần nhưng chưa có tổng số khoản rủi ro, kết quả xử lý hoặc xác nhận hoàn thành toàn bộ phạm vi rà soát.</t>
  </si>
  <si>
    <t>Chỉ đạo đã quá hạn 7 ngày nhưng báo cáo vẫn chủ yếu nêu truyền thông, nhắc nhở; chưa có số lượng hồ sơ thiếu, mức độ trọng yếu và kết quả khắc phục. Khối Tín dụng phải báo cáo VPLĐ danh sách hồ sơ tồn đọng, đơn vị chịu trách nhiệm và thời hạn hoàn tất từng hồ sơ.</t>
  </si>
  <si>
    <t>Quá hạn 7 ngày; chưa có số lượng hoặc danh sách hồ sơ thiếu; biện pháp chủ yếu là nhắc nhở và cập nhật cho Ban Lãnh đạo.</t>
  </si>
  <si>
    <t>Chỉ đạo đã quá hạn 7 ngày nhưng hồ sơ vẫn đang được rà soát, bổ sung. Việc cử nhân sự phối hợp chưa chứng minh hồ sơ đã đầy đủ và sẵn sàng cung cấp cho Đoàn thanh tra. Khối QTRR&amp;GSTT phải báo cáo VPLĐ ngay danh mục hồ sơ còn thiếu, trách nhiệm bổ sung và thời điểm hoàn tất.</t>
  </si>
  <si>
    <t>Quá hạn 7 ngày; hồ sơ mua bán nợ tại CN Quận 3 vẫn đang rà soát; chưa có xác nhận đầy đủ hoặc hoàn tất phục vụ thanh tra.</t>
  </si>
  <si>
    <t>Nếu đổi core thì việc này có còn liên quan nữa không. Nếu không thì cần bỏ ra khỏi danh sách.</t>
  </si>
  <si>
    <t>Chỉ đạo đã quá hạn 6 ngày. Gói 3k mới được trình HĐTV trong ngày 17/9, gói 5,5k vẫn đang hoàn thiện hồ sơ cấp tín dụng; chưa có khoản nào được xác nhận xử lý xong. Khối Tín dụng phải báo cáo VPLĐ giá trị chính xác, trạng thái phê duyệt, điểm nghẽn và ngày hoàn tất từng gói.</t>
  </si>
  <si>
    <t>Quá hạn 6 ngày; gói 3k đang trình HĐTV; gói 5,5k chưa hoàn tất hồ sơ; chưa có kết quả bán nợ.</t>
  </si>
  <si>
    <t>Chỉ đạo đã quá hạn 7 ngày; mốc dự kiến 11/9/2026 cũng không đạt. Báo cáo mới dừng ở trao đổi sơ lược với Tổng Giám đốc, chưa có báo cáo chuyên đề hoàn chỉnh trình Chủ tịch HĐTV. Khối QTRR&amp;GSTT phải hoàn tất ngay báo cáo, làm rõ nợ xấu phát sinh mới, sai lệch định giá, trách nhiệm và phương án xử lý.</t>
  </si>
  <si>
    <t>Quá hạn 7 ngày; mốc dự kiến 11/9 đã qua; chưa có báo cáo chuyên đề trình Chủ tịch HĐTV; vẫn đang bổ sung kiểm tra hồ sơ nợ quá hạn.</t>
  </si>
  <si>
    <t>Chỉ đạo đã quá hạn 48 ngày. Có tiến triển mới khi Phòng Thẩm định giá gửi lấy ý kiến về mô hình chuyển đổi, nhưng chưa có phương án được phê duyệt, khung giá, biểu phí thống nhất hoặc chương trình đào tạo. Khối Tín dụng phải báo cáo VPLĐ tiến độ từng đầu ra và ngày trình Ban Lãnh đạo.</t>
  </si>
  <si>
    <t>Quá hạn 48 ngày; hồ sơ mô hình mới ở bước lấy ý kiến; chưa có khung giá, biểu phí hoặc đào tạo được triển khai.</t>
  </si>
  <si>
    <t>Chỉ đạo đã quá hạn 41 ngày; các đơn vị mới họp rà soát hồ sơ và vẫn chờ phản hồi về phí định giá. Khối Tín dụng cần báo cáo VPLĐ các nội dung còn chưa thống nhất, kế hoạch phê duyệt và thời hạn đào tạo.</t>
  </si>
  <si>
    <t>Quá hạn 41 ngày; mô hình định giá chưa được phê duyệt; biểu phí còn chờ Vietory phản hồi; chưa có kết quả đào tạo.</t>
  </si>
  <si>
    <t>Chỉ đạo đã quá hạn 36 ngày nhưng vẫn chỉ nêu đang rà soát, chưa xác định 2-3 hồ sơ trọng điểm hoặc phương án cấn trừ cụ thể. Ban Xử lý nợ phải báo cáo VPLĐ và Chủ tịch HĐTV danh sách hồ sơ, giá trị khoản nợ, tài sản bảo đảm, lịch sử đấu giá, mức giảm giá và đề xuất xử lý trước 30/9/2026.</t>
  </si>
  <si>
    <t>Quá hạn 36 ngày; chưa có 2-3 hồ sơ trọng điểm được báo cáo; chưa có phương án cấn trừ hoặc đánh giá tổn thất; dự kiến lùi đến 30/9/2026.</t>
  </si>
  <si>
    <t>Chỉ đạo đã quá hạn 29 ngày nhưng chưa có báo cáo chi tiết cho Chủ tịch HĐTV. Ban Xử lý nợ phải xác định ngay hồ sơ trọng điểm, tổn thất dự kiến và phương án cấn trừ tài sản.</t>
  </si>
  <si>
    <t>Quá hạn 29 ngày; vẫn đang rà soát tài sản đấu giá; chưa có báo cáo chi tiết hoặc phương án xử lý.</t>
  </si>
  <si>
    <t>Báo cáo với Phó Tổng Giám đốc ngày 10/9 chưa chứng minh đã hoàn thành báo cáo chuyên đề theo đúng phạm vi và trình Ban Lãnh đạo, Chủ sở hữu. Khối Tín dụng phải cung cấp đầu ra đã gửi, nội dung về bất cập định giá và xác nhận việc phối hợp hoàn tất báo cáo chung.</t>
  </si>
  <si>
    <t>Đánh dấu hoàn thành nhưng chỉ nêu đã báo cáo chất lượng tín dụng cho Phó Tổng Giám đốc; chưa có bằng chứng báo cáo chuyên đề trình Chủ sở hữu hoặc nội dung rà soát định giá.</t>
  </si>
  <si>
    <t>Chỉ đạo đã quá hạn 7 ngày; mốc hoàn thành lại ngày 15/9/2026 cũng đã qua nhưng NHBL vẫn chỉ báo cáo đang phối hợp rà soát. NHBL phải báo cáo VPLĐ ngay số lượng hồ sơ thiếu, đơn vị phát sinh, mức độ trọng yếu và ngày khắc phục dứt điểm.</t>
  </si>
  <si>
    <t>Quá hạn 7 ngày; mốc dự kiến 15/9 đã qua; chưa có danh sách hoặc số lượng hồ sơ còn thiếu; chưa xác nhận hoàn thành.</t>
  </si>
  <si>
    <t>Chỉ đạo đã quá hạn 17 ngày nhưng báo cáo vẫn chỉ nêu đang rà soát, không có quy mô danh mục, số liệu chênh lệch hoặc kết quả đối soát gốc, lãi. Ban Xử lý nợ phải báo cáo VPLĐ tiến độ định lượng, các sai lệch phát hiện và khả năng hoàn tất trước 30/9/2026.</t>
  </si>
  <si>
    <t>Quá hạn 17 ngày; chưa có số lượng khoản nợ, dư nợ gốc, lãi hoặc kết quả đối soát; dự kiến lùi đến 30/9/2026; không có tiến triển giữa hai kỳ.</t>
  </si>
  <si>
    <t>Chỉ đạo đã quá hạn 10 ngày; công việc đang rà soát nhưng chưa có kết quả định lượng. Ban Xử lý nợ cần báo cáo VPLĐ phạm vi danh mục, số liệu đã đối soát, chênh lệch và thời hạn xử lý.</t>
  </si>
  <si>
    <t>Quá hạn 10 ngày; mới nêu đang rà soát; chưa có kết quả đối soát hoặc số liệu danh mục.</t>
  </si>
  <si>
    <t>Chỉ đạo đã quá hạn 55 ngày; các mốc hoàn thành lại ngày 15/9 và 30/9 đều không làm thay đổi trách nhiệm đối với thời hạn gốc 24/7/2026. Sau nhiều vòng góp ý và trình ký, Quy định vẫn chưa được ban hành. Ban Điều hành phải yêu cầu NHBL giải trình nguyên nhân kéo dài, chốt trách nhiệm từng đơn vị và báo cáo VPLĐ ngày ban hành cuối cùng; không tiếp tục lấy lý do “đang trình HĐTV” để thay cho kết quả.</t>
  </si>
  <si>
    <t>Quá hạn 55 ngày; dự thảo kéo dài qua nhiều vòng góp ý từ tháng 7/2026; mốc 15/9 không đạt; Quy định vẫn đang trình HĐTV và chưa được ban hành.</t>
  </si>
  <si>
    <t>Chỉ đạo đã quá hạn 63 ngày. Quy định bảo lãnh đang trình HĐTV, còn Quy định chiết khấu vẫn chưa thống nhất giữa đơn vị soạn thảo và Khối Tín dụng. Việc cho rằng đã hoàn thành đúng hạn ở mức “dự thảo” không phù hợp với yêu cầu chuẩn hóa quy định để đưa vào áp dụng. Ban Điều hành phải xử lý ngay nội dung còn bất đồng, ấn định ngày ban hành từng văn bản và báo cáo VPLĐ; không tiếp tục tranh luận lại phạm vi chỉ đạo sau khi thời hạn đã vi phạm kéo dài.</t>
  </si>
  <si>
    <t>Quá hạn 63 ngày; Quy định chiết khấu chưa thống nhất nội dung; Quy định bảo lãnh chưa được HĐTV phê duyệt; sau 7 ngày chưa có chuyển biến thực chất.</t>
  </si>
  <si>
    <t>Chỉ đạo đã quá hạn 56 ngày nhưng hai Quy định vẫn chưa được ban hành. NHBL phải báo cáo VPLĐ nội dung còn bất đồng, cấp đang xử lý và ngày hoàn thành từng văn bản; không được tự diễn giải thời hạn chỉ áp dụng cho việc lập dự thảo khi chỉ đạo yêu cầu chuẩn hóa để phục vụ hoạt động kinh doanh.</t>
  </si>
  <si>
    <t>Quá hạn 56 ngày; Quy định chiết khấu còn bất đồng; Quy định bảo lãnh đang trình HĐTV; chưa có văn bản được ban hành.</t>
  </si>
  <si>
    <t>Chỉ đạo đã quá hạn 2 ngày nhưng lại được đánh dấu hoàn thành khi Quy định vẫn đang trình HĐTV. Khối QTRR&amp;GSTT phải báo cáo VPLĐ phần việc kiểm soát rủi ro đã hoàn tất, nội dung còn bảo lưu và thời điểm văn bản được ban hành. Không được ghi nhận hoàn thành chỉ vì đã kết thúc phần đồng soạn thảo.</t>
  </si>
  <si>
    <t>Quá hạn 2 ngày; Quy định chưa được HĐTV phê duyệt hoặc ban hành; trạng thái hoàn thành không phù hợp với kết quả thực tế.</t>
  </si>
  <si>
    <t>Toàn bộ chỉ đạo trực tiếp phục vụ chương trình Core T24, gồm quản trị chương trình, TMO, nhân sự chuyên trách, đào tạo Core, KPI, lương dự án, danh mục sản phẩm và các khoản đầu tư bắt buộc phải đồng bộ với Core. Không đưa các dự án công nghệ thông thường vào nhóm này nếu không có quan hệ phụ thuộc trực tiếp với Core.</t>
  </si>
  <si>
    <t>Core T24, Core Banking, Core TM, TMO, Front Arena, dự án Core, chương trình Core, tập trung Core, đào tạo Core, nhân sự Core, KPI Core, lương dự án Core, danh bạ nhân sự dự án, Team Leaders dự án Core, Phó Giám đốc Chương trình Core, danh mục sản phẩm Core</t>
  </si>
  <si>
    <t>02. Danh mục Dự án Công nghệ và Nguồn lực CNTT</t>
  </si>
  <si>
    <t>Quản trị danh mục, thứ tự ưu tiên, nguồn lực, tiến độ và ngân sách của các dự án CNTT ngoài Core; bao gồm PMO công nghệ và quyết định tiếp tục, tạm dừng hoặc loại bỏ dự án. Nhóm này dùng để nhận diện nguy cơ Core làm đình trệ các dự án công nghệ khác.</t>
  </si>
  <si>
    <t>PMO công nghệ, quản lý dự án công nghệ thông tin, danh mục dự án CNTT, ưu tiên dự án, nguồn lực CNTT, tạm dừng dự án, dự án đình trệ, tiến độ dự án công nghệ, Ban mua sắm Công nghệ, mua sắm công nghệ</t>
  </si>
  <si>
    <t>03. Kiến trúc Công nghệ, Hạ tầng và Tài sản Phần mềm</t>
  </si>
  <si>
    <t>Kiến trúc CNTT, trung tâm dữ liệu, hạ tầng, kiểm kê phần cứng và phần mềm, bản quyền, license, mua sắm và loại bỏ hệ thống không còn sử dụng. Đầu ra chính là kiến trúc, năng lực hạ tầng và quyền sử dụng hợp pháp đối với tài sản công nghệ.</t>
  </si>
  <si>
    <t>IT Architecture, kiến trúc công nghệ, Trung tâm dữ liệu, bản quyền phần mềm, mua bản quyền phần mềm, mua bản quyền sử dụng phần mềm, license phần mềm, kiểm kê phần mềm, kiểm kê phần cứng, hệ thống phần mềm phần cứng, loại bỏ các hệ thống không sử dụng</t>
  </si>
  <si>
    <t>04. An ninh Công nghệ, eKYC và Phòng chống Gian lận</t>
  </si>
  <si>
    <t>Kiểm soát nhận diện số, giả mạo, gian lận và an ninh công nghệ; bao gồm eKYC, Face ID, Deepfake và các hệ thống hỗ trợ nhận diện, sàng lọc hoặc chống gian lận. Không ghép với quản trị dữ liệu hoặc trải nghiệm ứng dụng.</t>
  </si>
  <si>
    <t>eKYC, Face ID, FaceID, Deepfake, HyperVerge, AMLOCK, hệ thống chống gian lận, an ninh công nghệ, nhận diện khách hàng, xác thực sinh trắc học</t>
  </si>
  <si>
    <t>05. Quản trị Dữ liệu và Tích hợp Dữ liệu</t>
  </si>
  <si>
    <t>Quản trị dữ liệu tập trung, tổ chức chức năng dữ liệu, chất lượng và khả năng khai thác dữ liệu; bao gồm các nền tảng hoặc kết nối có đầu ra chính là thu nhận, đồng bộ hoặc cung cấp dữ liệu.</t>
  </si>
  <si>
    <t>dữ liệu tập trung, Phòng Data, quản trị dữ liệu, chất lượng dữ liệu, tích hợp dữ liệu, tự động hóa nhập liệu, PowerHome</t>
  </si>
  <si>
    <t>06. Chất lượng Tín dụng và Quản lý Cấp tín dụng</t>
  </si>
  <si>
    <t>Chất lượng danh mục tín dụng, room tăng trưởng, dự án tài trợ vốn, hồ sơ sau giải ngân, dữ liệu tín dụng, lãi suất cho vay và hoạt động quản lý, hỗ trợ tín dụng tập trung. Không đưa định giá tài sản hoặc xử lý nợ vào nhóm này.</t>
  </si>
  <si>
    <t>chất lượng tín dụng, chất lượng nợ, khoản vay có dấu hiệu rủi ro, room tín dụng, room tăng trưởng tín dụng, tài trợ vốn dự án trọng điểm, tài trợ dự án trọng điểm, 52% vốn tự có, loại trừ khỏi room, hồ sơ sau giải ngân, dữ liệu tín dụng, hệ thống FCC, lãi suất cho vay tự động, quản lý và hỗ trợ tín dụng tập trung</t>
  </si>
  <si>
    <t>07. Định giá và Quản lý Tài sản Bảo đảm</t>
  </si>
  <si>
    <t>Thẩm định, định giá, tái định giá và quản lý thông tin tài sản bảo đảm. Đầu ra chính là giá trị, hồ sơ và khả năng sử dụng tài sản làm cơ sở cấp tín dụng hoặc thu hồi nợ.</t>
  </si>
  <si>
    <t>định giá tài sản, thẩm định giá, tái định giá, tài sản bảo đảm, hồ sơ tài sản bảo đảm, Vietory, Galaxy</t>
  </si>
  <si>
    <t>08. Xử lý Nợ, VAMC và Thu hồi Tài sản</t>
  </si>
  <si>
    <t>Xử lý nợ xấu, bán nợ, VAMC, xử lý rủi ro, cấn trừ tài sản bảo đảm, đấu giá và các phương án thu hồi. Không đưa hoạt động cấp tín dụng mới vào nhóm này.</t>
  </si>
  <si>
    <t>nợ xấu, VAMC, XLRR, mua bán nợ, bán nợ, danh mục nợ, cấn trừ tài sản bảo đảm, đấu giá nhiều lần, thu hồi nợ, xử lý tài sản bảo đảm, gói 3k, gói 5,5k</t>
  </si>
  <si>
    <t>09. Kinh doanh Vốn, Thanh khoản và Trạng thái Vàng</t>
  </si>
  <si>
    <t>Quản lý trạng thái vàng, kinh doanh vàng, vốn nhàn rỗi, thị trường 2, Tier 2, giấy tờ có giá, huy động vốn và các quyết định liên quan đến thanh khoản. Không đưa ngân sách hoặc chi tiêu nội bộ vào nhóm này.</t>
  </si>
  <si>
    <t>trạng thái vàng, kinh doanh vàng, đưa trạng thái vàng về 0, điều chuyển trạng thái vàng, hạch toán vàng, nguồn vốn nhàn rỗi, thị trường 2, Tier 2, chứng chỉ tiền gửi, GTCG, huy động vốn, 500 tỷ đồng/ngày, ALCO</t>
  </si>
  <si>
    <t>10. FTP, ALM và Hiệu quả Sử dụng Vốn</t>
  </si>
  <si>
    <t>Xây dựng, vận hành và áp dụng FTP, quản lý tài sản nợ, tài sản có và đo lường hiệu quả sử dụng vốn. Nhóm này tập trung vào cơ chế định giá vốn nội bộ, không bao gồm ngân sách vận hành.</t>
  </si>
  <si>
    <t>chương trình tính FTP, FTP, ALM, định giá vốn nội bộ, chi phí vốn, hiệu quả sử dụng vốn, phân bổ chi phí vốn</t>
  </si>
  <si>
    <t>11. Ngân sách, Chi phí và Thẩm quyền Tài chính</t>
  </si>
  <si>
    <t>Kế hoạch ngân sách, dự báo kết quả kinh doanh, công tác phí, chi phí lưu trú, hạn mức chi tiêu và phân cấp thẩm quyền tài chính. Đầu ra chính là kế hoạch, hạn mức, phê duyệt hoặc kiểm soát chi phí.</t>
  </si>
  <si>
    <t>Kế hoạch Ngân sách, ngân sách năm 2027, dự báo kết quả kinh doanh, công tác phí, chi phí lưu trú, chi tiêu nội bộ, phân cấp thẩm quyền, hạn mức chi tiêu</t>
  </si>
  <si>
    <t>12. Tuân thủ NHNN, Thông tư 83 và Thanh tra</t>
  </si>
  <si>
    <t>Rà soát mức độ tuân thủ pháp luật, quy định NHNN, Thông tư 83, kiến nghị thanh tra và hồ sơ phục vụ đoàn thanh tra. Nhóm này chỉ nhận nghĩa vụ xuất phát từ cơ quan quản lý hoặc yêu cầu pháp luật.</t>
  </si>
  <si>
    <t>Thông tư 83, thông tư 83, đáp ứng quy định của NHNN, quy định pháp luật mới, kiến nghị Thanh tra, kiến nghị thanh tra, Đoàn thanh tra, đoàn Thanh tra, khắc phục lỗi sau thanh tra, phục vụ công tác thanh tra, cơ quan quản lý, CQQL</t>
  </si>
  <si>
    <t>13. Tái cơ cấu và Chuyển giao Bắt buộc</t>
  </si>
  <si>
    <t>Phương án tái cơ cấu, chuyển giao bắt buộc và các đầu việc nhằm thực hiện cam kết, điều kiện hoặc lộ trình tái cơ cấu ngân hàng. Đây là nhóm riêng vì có phạm vi, cấp ra quyết định và cơ chế giám sát khác hoạt động tuân thủ thường xuyên.</t>
  </si>
  <si>
    <t>phương án tái cơ cấu, tái cơ cấu ngân hàng, chuyển giao bắt buộc, cam kết chuyển giao, lộ trình tái cơ cấu, DAB, 20 văn bản có nội dung DAB</t>
  </si>
  <si>
    <t>14. Hệ thống Văn bản và Quy trình Nội bộ</t>
  </si>
  <si>
    <t>Rà soát, sửa đổi, ban hành và chuẩn hóa văn bản, quy định, quy trình và SLA nội bộ. Không đưa kiến nghị thanh tra, mua sắm hoặc sở hữu trí tuệ vào nhóm này.</t>
  </si>
  <si>
    <t>văn bản chưa tuân thủ, văn bản có yếu tố vi phạm, văn bản quan trọng, ưu tiên rà soát văn bản, ban hành lại văn bản, 58 văn bản, 54 văn bản, 70 văn bản, xây dựng SLA, quy định nghiệp vụ, quy định trái phiếu, giao dịch trái phiếu, mua bán trái phiếu doanh nghiệp, chiết khấu bộ chứng từ, bảo lãnh doanh nghiệp</t>
  </si>
  <si>
    <t>15. Mua sắm và Quản lý Nhà cung cấp</t>
  </si>
  <si>
    <t>Quy định mua sắm, mua sắm tập trung, phân cấp phê duyệt, lựa chọn và quản lý nhà cung cấp. Các giao dịch mua bản quyền hoặc mua công nghệ vẫn được gắn thêm tag công nghệ, nhưng đầu ra về quy trình mua sắm thuộc nhóm này.</t>
  </si>
  <si>
    <t>mua sắm tập trung, danh mục nhà cung cấp, phân cấp ủy quyền mua sắm, quy định mua sắm, lựa chọn nhà cung cấp, quản lý nhà cung cấp, phê duyệt mua sắm</t>
  </si>
  <si>
    <t>16. Nhân sự, Tổ chức Bộ máy và Chính sách Thu nhập</t>
  </si>
  <si>
    <t>Tuyển dụng, điều chuyển, cơ cấu tổ chức, quy chế tổ chức, JD, khung lương, phụ cấp, thu nhập và phúc lợi. Không đưa đào tạo hoặc quản trị một dự án cụ thể vào nhóm này.</t>
  </si>
  <si>
    <t>tuyển dụng, nhân sự dự phòng, nguồn nhân lực, nguồn lực từ HDBank, luân chuyển nhân sự, chuyển giao 22 nhân sự, nhân sự PR&amp;MKT, ứng viên nội bộ, khung lương, thang bảng lương, chính sách lương, lương lãnh đạo, lương kinh doanh, lương năng suất, phụ cấp, FAQ thu nhập, ước tính thu nhập, sức khỏe và phúc lợi CBNV, bảo hiểm nhân thọ cho CBNV, ứng dụng quản trị nhân sự, Quy chế tổ chức và hoạt động, bản mô tả công việc, JD</t>
  </si>
  <si>
    <t>17. Đào tạo và Phát triển Năng lực CBNV</t>
  </si>
  <si>
    <t>Kế hoạch đào tạo, giáo trình, hội nhập, kiến thức ngành và kỹ năng quản lý nhằm nâng cao năng lực cán bộ nhân viên. Chỉ nhận cẩm nang bán hàng khi đầu ra chính là tài liệu đào tạo, không phải công cụ triển khai một sản phẩm cụ thể.</t>
  </si>
  <si>
    <t>kế hoạch đào tạo năm 2026, tài liệu đào tạo, giáo trình, đào tạo hội nhập, hội nhập Vikki Bank, Nhập ngành Ngân hàng, Mini MBA, kỹ năng lập kế hoạch, kỹ năng phỏng vấn, Viện Victoria, cẩm nang đào tạo, năng lực CBNV</t>
  </si>
  <si>
    <t>18. Quy trình Phát triển và Ra mắt Sản phẩm</t>
  </si>
  <si>
    <t>Thiết kế quy trình từ đề xuất, thẩm định, phê duyệt, thử nghiệm, chuẩn bị vận hành đến ra mắt sản phẩm. Không ghép với đào tạo CBNV hoặc danh mục sản phẩm Core, trừ khi chỉ đạo tập trung vào chính quy trình phát triển sản phẩm.</t>
  </si>
  <si>
    <t>Quy trình phát triển sản phẩm, Quy trình ra mắt sản phẩm, Ban Phát triển Sản phẩm, Ban PTSP, Designbook, kịch bản ra mắt sản phẩm, thẩm định sản phẩm, phê duyệt sản phẩm, thử nghiệm sản phẩm, ra mắt sản phẩm</t>
  </si>
  <si>
    <t>19. Mạng lưới, Điểm giao dịch và Công trình Trọng điểm</t>
  </si>
  <si>
    <t>Phát triển, thẩm định, cải tạo và chuẩn hóa mạng lưới; điểm mở mới, PGD đặc thù, điểm hòa vốn, tờ trình mạng lưới và các công trình trọng điểm. Chỉ đưa nhận diện thương hiệu vào đây khi gắn trực tiếp với thiết kế hoặc cải tạo điểm vật lý.</t>
  </si>
  <si>
    <t>237 điểm, 212 điểm, 25 điểm mở mới, 25 điểm mạng lưới, PGD đặc thù, Phòng Giao dịch Đặc thù, điểm hòa vốn, mạng lưới năm 2027, phát triển mạng lưới, cải tạo mạng lưới, thẩm định tờ trình mạng lưới, tờ trình mạng lưới, Bộ phận PTML, PTML-XDCB-MS, Marina IFC, tòa nhà Marina, 72 Lý Thường Kiệt, Bình Chánh, Bến Lức, Công trình Hải Phòng, thiết kế bổ sung cây xanh, Cột cờ Hà Nội, chuẩn nhận diện thương hiệu tại điểm giao dịch</t>
  </si>
  <si>
    <t>20. VikkiONE Connect và Hệ sinh thái Thẻ</t>
  </si>
  <si>
    <t>Phát hành, vận hành, mở rộng và kiểm soát chất lượng các dòng thẻ; bao gồm chính sách cấp thẻ, scoring, hạn mức, loyalty, hoàn tiền và tiện ích gắn trực tiếp với thẻ. MOU đối tác chỉ thuộc nhóm này khi đầu ra chính là sản phẩm hoặc tính năng thẻ.</t>
  </si>
  <si>
    <t>21. Kênh Ngân hàng Số và Trải nghiệm Ứng dụng</t>
  </si>
  <si>
    <t>Web, ứng dụng Vikki, hành trình số và trải nghiệm của người dùng, bao gồm khả năng tiếp cận của khách hàng lớn tuổi. Không đưa kiến trúc, dữ liệu hoặc an ninh công nghệ vào nhóm này nếu đầu ra chính không phải trải nghiệm kênh số.</t>
  </si>
  <si>
    <t>Web/App Vikki, Web và App Vikki, App Vikki, chuyển đổi số, màn hình App, khách hàng hưu trí, khách hàng lớn tuổi, 60.000 khách hàng, trải nghiệm số, hành trình khách hàng số</t>
  </si>
  <si>
    <t>22. Kết nối Số, Thu hộ và Dịch vụ Thanh toán</t>
  </si>
  <si>
    <t>Các kết nối số phục vụ thanh toán, thu ngân sách, giao thông hoặc dịch vụ của đối tác. Đầu ra chính là một kết nối vận hành hoặc luồng giao dịch, không phải quản trị kiến trúc nói chung.</t>
  </si>
  <si>
    <t>eTax, thu ngân sách nhà nước, VETC, Mobifone, VNPT, HDS, kết nối số, tích hợp thanh toán, thu hộ</t>
  </si>
  <si>
    <t>23. Trạm Công dân số, Galaxy ID và Dịch vụ công</t>
  </si>
  <si>
    <t>Trạm công dân số, định danh công dân, kiosk, dịch vụ công và các kết nối trực tiếp phục vụ hệ sinh thái này. Mastercard chỉ thuộc nhóm này khi gắn với giải pháp công dân số; hợp tác chung với Mastercard thuộc nhóm đối tác chiến lược.</t>
  </si>
  <si>
    <t>24. Hệ sinh thái Giáo dục và Tài chính Giáo dục</t>
  </si>
  <si>
    <t>Các sản phẩm và nền tảng phục vụ trường học, sinh viên, nhà giáo và người học; bao gồm thẻ, học liệu, xác thực bằng cấp, API giáo dục và tín dụng học phí. Các nội dung được giữ chung vì cùng phục vụ một hệ sinh thái khách hàng và chuỗi giải pháp giáo dục.</t>
  </si>
  <si>
    <t>25. Hệ sinh thái Kiều hối và Tài khoản Đa tiền tệ</t>
  </si>
  <si>
    <t>Chương trình kiều hối, tài khoản ngoại tệ, tài khoản đa tiền tệ, KYC hoặc chi trả tại nhà và các sản phẩm tiết kiệm, tín dụng hình thành trực tiếp từ dòng tiền kiều hối.</t>
  </si>
  <si>
    <t>26. Siêu thị Tài chính và Không gian Trải nghiệm</t>
  </si>
  <si>
    <t>Đề án Siêu thị Tài chính, Vikkafe, Vikki Duty Free và các không gian kết hợp tài chính với phong cách sống. Nhóm này tập trung vào mô hình và địa điểm trải nghiệm; Booth bán hàng tiêu chuẩn được tách thành nhóm kênh phân phối.</t>
  </si>
  <si>
    <t>Siêu thị Tài chính, Siêu thị tài chính, Đề án STTC, hệ sinh thái tài chính và phong cách sống, Vikkafe, Vikki Duty Free, GĐ Siêu thị Tài chính, Cultural Experience Zone</t>
  </si>
  <si>
    <t>27. Booth Đa năng và Kênh Bán hàng Lưu động</t>
  </si>
  <si>
    <t>Triển khai, vận hành, phân bổ và đánh giá hiệu quả các Booth bán hàng hoặc Booth đa năng. Nhóm riêng vì đầu ra là năng lực phân phối, điểm bán và hiệu quả bán hàng, không phải thiết kế hệ sinh thái phong cách sống.</t>
  </si>
  <si>
    <t>Booth đa năng, mô hình Booth, bán hàng qua mô hình Booth, triển khai booth, Booth tại các Khu vực, điểm Booth, kênh bán hàng lưu động</t>
  </si>
  <si>
    <t>28. Bảo hiểm và Phân phối Bảo hiểm</t>
  </si>
  <si>
    <t>Mục tiêu doanh số, bán chéo, sản phẩm, kênh phân phối và hoạt động kinh doanh bảo hiểm. Không ghép chung với y tế số chỉ vì bảo hiểm có thể tài trợ hoặc liên kết với dịch vụ y tế.</t>
  </si>
  <si>
    <t>bảo hiểm 1.000 tỷ, doanh số bảo hiểm, bán chéo sản phẩm bảo hiểm, sản phẩm bảo hiểm, phân phối bảo hiểm</t>
  </si>
  <si>
    <t>29. Hệ sinh thái Y tế số và Chăm sóc Sức khỏe</t>
  </si>
  <si>
    <t>Các đề án, nền tảng và dịch vụ y tế, sức khỏe, bác sĩ gia đình hoặc chăm sóc sức khỏe số.</t>
  </si>
  <si>
    <t>Việt Nam khỏe mạnh, Hub Y tế, bác sĩ gia đình, y tế số, chăm sóc sức khỏe</t>
  </si>
  <si>
    <t>30. Quan hệ Đối tác và Liên kết Kinh doanh</t>
  </si>
  <si>
    <t>Xây dựng khung hợp tác, dự án liên kết, MOU và chương trình phối hợp với các đối tác trong nước hoặc quốc tế. Nếu hợp tác tạo ra một sản phẩm cụ thể, phân loại theo sản phẩm; nhóm này chỉ nhận chỉ đạo có đầu ra chính là thiết lập hoặc quản trị quan hệ hợp tác.</t>
  </si>
  <si>
    <t>Satra, Charm Group, MOVI, PAIC, Petechim, Khu vực 5, Đài Truyền hình Vĩnh Long, Hội Liên hiệp Phụ nữ, Đại học Cần Thơ, khung liên kết đối tác, dự án liên kết đối tác, MOU với Mastercard, phương án hợp tác Mastercard</t>
  </si>
  <si>
    <t>31. Thương hiệu và Truyền thông Marketing</t>
  </si>
  <si>
    <t>Chiến lược thương hiệu, nhận diện, nội dung quảng bá, website truyền thông, phim giới thiệu, chiến dịch marketing, tài trợ truyền thông và công cụ marketing. Không đưa chăm sóc khách hàng hoặc công tác đối ngoại của Ban lãnh đạo vào nhóm này.</t>
  </si>
  <si>
    <t>Brand Book, văn hóa thương hiệu, đại sứ thương hiệu, Marketing Automation, chuyển đổi Marketing, chương trình KD marketing, chương trình kinh doanh và marketing, quảng bá hình ảnh, Google Maps, website Vikki, phim giới thiệu Vikki Bank, sản xuất phim giới thiệu, kể một câu chuyện về Vikki Bank, Loa Phường, LED, thông điệp 100 chữ, bộ 8 sheet, chi phí truyền thông, Axis chậm, PR&amp;MKT, kế hoạch truyền thông thẻ</t>
  </si>
  <si>
    <t>32. Chăm sóc Khách hàng và Chương trình Quà tặng</t>
  </si>
  <si>
    <t>Dịch vụ sau bán hàng, chăm sóc khách hàng, giao nhận quà, danh mục quà tặng và chương trình ưu đãi dành cho khách hàng. Kế hoạch quảng bá thuộc marketing; việc thực hiện quyền lợi và giao quà thuộc nhóm này.</t>
  </si>
  <si>
    <t>chăm sóc khách hàng tiết kiệm online, tiết kiệm online, nhận quà tại CN/PGD, giao tận nhà, dịch vụ giao nhận, kỳ nghỉ lễ dài, quà tặng, hàng mẫu, danh mục quà tặng, trúng bóng vàng ký, vé mời tài trợ</t>
  </si>
  <si>
    <t>33. Đối ngoại và Công tác Quốc tế của Ban Lãnh đạo</t>
  </si>
  <si>
    <t>Lịch trình, thủ tục và nội dung công tác đối ngoại hoặc công tác nước ngoài của Ban lãnh đạo. MOU hoặc phương án hợp tác phát sinh từ chuyến đi được chuyển sang nhóm quan hệ đối tác khi đã hình thành đầu ra hợp tác cụ thể.</t>
  </si>
  <si>
    <t>công tác đi Mỹ, chuyến công tác Mỹ, agenda công tác Mỹ, Visa công tác Ban Lãnh đạo, visa multiple-entry, Schengen, công tác quốc tế, đối ngoại Ban lãnh đạo</t>
  </si>
  <si>
    <t>34. Sản phẩm Tín dụng Bán lẻ và Khách hàng Chuyên biệt</t>
  </si>
  <si>
    <t>Thiết kế, triển khai và theo dõi từng sản phẩm cho vay hoặc phân khúc khách hàng chuyên biệt. Rủi ro chất lượng của danh mục sau triển khai thuộc nhóm chất lượng tín dụng; quy trình phát triển sản phẩm chung thuộc nhóm 18.</t>
  </si>
  <si>
    <t>Vay thần tốc 24h, Cho vay căn hộ nhanh, cho vay CTCK, cầm cố sổ tiết kiệm, vay học phí, sản phẩm vay, khách hàng nữ, Phụ nữ tài sắc, hội thảo nông nghiệp nông thôn</t>
  </si>
  <si>
    <t>35. Năng suất Làm việc và Công cụ Cộng tác Nội bộ</t>
  </si>
  <si>
    <t>Các nền tảng hỗ trợ quản lý công việc, giao tiếp, cộng tác và năng suất nội bộ. Không ghép với quản trị dự án CNTT hoặc kênh ngân hàng số.</t>
  </si>
  <si>
    <t>VOffice, V-Office, Viva Engage, Planner, phần mềm quản lý công việc, ký số, tự động hóa công việc, công cụ cộng tác</t>
  </si>
  <si>
    <t>36. Chất lượng Dịch vụ và 5S</t>
  </si>
  <si>
    <t>Tiêu chuẩn chất lượng phục vụ, kỷ luật vận hành, môi trường làm việc và chương trình 5S. Không ghép vào nhân sự chỉ vì cán bộ nhân viên là đối tượng thực hiện.</t>
  </si>
  <si>
    <t>chất lượng dịch vụ, 5S, tiêu chuẩn phục vụ, kỷ luật vận hành, môi trường làm việc</t>
  </si>
  <si>
    <t>mua sắm tập trung, mua sắm, thủ tục mua sắm, BPMS, hồ sơ đối tác, nhận hồ sơ, mở hồ sơ, đánh giá kỹ thuật, báo cáo đánh giá kỹ thuật, trình BLĐ, kết quả phê duyệt, lựa chọn nhà cung cấp, danh mục nhà cung cấp, phân cấp ủy quyền mua sắm, quy định mua sắm, hợp đồng nhà cung cấp, process HĐ, trình chủ trương trang bị</t>
  </si>
  <si>
    <t>Brand Book, văn hóa thương hiệu, nhận diện thương hiệu, Marketing Automation, chuyển đổi Marketing, chương trình KD marketing, chương trình kinh doanh và marketing, chương trình KD và marketing, chương trình kinh doanh &amp; sản phẩm, đồng bộ triển khai chương trình KD, đồng bộ triển khai, triển khai đồng bộ, đúng tiến độ, chậm trễ thủ tục hành chính, truyền thông, hiệu quả chung của chương trình, phối hợp triển khai, các chương trình kinh doanh, các chương trình sản phẩm, PR&amp;MKT, Phòng MKT, Phòng Marketing</t>
  </si>
  <si>
    <t>37. Sở hữu trí tuệ, Bản quyền và Bảo hộ Thương hiệu</t>
  </si>
  <si>
    <t>Đăng ký, bảo hộ, chuyển giao và xử lý quyền sở hữu trí tuệ đối với thương hiệu, nhãn hiệu, thiết kế sản phẩm, kiến trúc dịch vụ, nhận diện, đồng phục và các tài sản sáng tạo khác. Đây là nhóm pháp lý riêng, không nhập vào Marketing.</t>
  </si>
  <si>
    <t>sở hữu trí tuệ, quyền sở hữu trí tuệ, bảo hộ sở hữu trí tuệ, bảo quyền sở hữu trí tuệ, đăng ký bảo quyền, đăng ký bản quyền, bản quyền, quyền tác giả, đăng ký nhãn hiệu, nhãn hiệu, đăng ký thương hiệu, bảo hộ thương hiệu, bảo hộ nhãn hiệu, tên gọi, đăng ký tên gọi, thiết kế sản phẩm, thiết kế SP, kiến trúc dịch vụ, nhận diện thương hiệu sản phẩm, dòng thẻ mới, các dòng thẻ mới, bảo hộ trong nước, bảo hộ quốc tế, trong nước/quốc tế, chuyển giao quyền sở hữu, thủ tục pháp lý chuyển giao quyền sở hữu, đơn vị thiết kế, đối tác thiết kế, đăng ký đồng phục, cấp giấy, chờ thẩm định, công ty luật, Trí Việt, Phòng Pháp chế, Phòng QLCC, TT thẻ, quyền sở hữu nhãn hiệu, quyền sở hữu thương hiệu</t>
  </si>
  <si>
    <t>38. Bản quyền và License Phần mềm</t>
  </si>
  <si>
    <t>Xác định nhu cầu, mua và hoàn thiện quyền sử dụng hợp pháp đối với hệ điều hành, phần mềm và license. Nhóm này theo dõi đối tượng cần mua là bản quyền phần mềm; trạng thái mua sắm vẫn có thể gắn tag phụ “Mua sắm”.</t>
  </si>
  <si>
    <t>bản quyền sử dụng phần mềm, mua bản quyền sử dụng phần mềm, mua bản quyền phần mềm, hoàn thiện công tác mua bản quyền, bản quyền phần mềm, license phần mềm, giấy phép phần mềm, quyền sử dụng phần mềm, hệ điều hành có bản quyền, bản quyền hệ điều hành, Microsoft Windows 11 Pro, Windows 11 Pro, trang bị bản quyền, chủ trương trang bị bản quyền, tờ trình mua bản quyền, thủ tục mua bản quyền, đánh giá kỹ thuật phần mềm</t>
  </si>
  <si>
    <t>Chỉ đạo đã quá hạn 79 ngày nhưng Khối Tín dụng mới xác nhận các mẫu biểu trên hệ thống không phát sinh, chưa chứng minh toàn bộ văn bản thuộc trách nhiệm đã được xử lý. Khối Tín dụng phải báo cáo VPLĐ danh mục văn bản được giao, kết quả rà soát từng văn bản và xác nhận không còn nội dung DAB/HĐQT; không tiếp tục dẫn chiếu chung sang tiến độ của Tổ rà soát.</t>
  </si>
  <si>
    <t>Quá hạn 79 ngày; chưa có danh mục và kết quả xử lý từng văn bản; nội dung không thay đổi giữa hai kỳ; trách nhiệm đang được chuyển sang tiến độ chung của Tổ rà soát.</t>
  </si>
  <si>
    <t>Chỉ đạo đã quá hạn 72 ngày nhưng chưa có bằng chứng hoàn thành phạm vi văn bản thuộc Khối Tín dụng. Đơn vị phải báo cáo VPLĐ kết quả rà soát chi tiết, không sử dụng việc “không phát sinh mẫu biểu trên hệ thống” để thay thế nghĩa vụ xử lý văn bản hiện hữu.</t>
  </si>
  <si>
    <t>Quá hạn 72 ngày; chưa có kết quả theo từng văn bản; chưa xác nhận đã loại bỏ đầy đủ nhận diện cũ.</t>
  </si>
  <si>
    <t>Chỉ đạo đã quá hạn 84 ngày trong khi Thông tư đã có hiệu lực từ ngày 1/7/2026. Sau một tuần, số lượng 5 văn bản đang trình ký và 2 văn bản đang dự thảo không thay đổi. Khối QTRR&amp;GSTT phải báo cáo VPLĐ tên từng văn bản chưa hoàn thành, đơn vị chịu trách nhiệm, mức độ rủi ro pháp lý và ngày ban hành bắt buộc; không chấp nhận tiếp tục viện dẫn sự phụ thuộc vào đơn vị liên quan.</t>
  </si>
  <si>
    <t>Quá hạn 84 ngày sau thời điểm Thông tư có hiệu lực; còn 7/54 văn bản chưa ban hành; không có tiến triển giữa hai kỳ báo cáo.</t>
  </si>
  <si>
    <t>Chỉ đạo đã quá hạn 77 ngày; còn 7 văn bản chưa được ban hành sau thời điểm Thông tư có hiệu lực. Khối QTRR&amp;GSTT phải quy trách nhiệm đến từng đơn vị, xác định rủi ro pháp lý của từng văn bản và báo cáo VPLĐ kế hoạch xử lý dứt điểm.</t>
  </si>
  <si>
    <t>Quá hạn 77 ngày; 5 văn bản đang trình ký, 2 văn bản đang dự thảo; chưa có ngày hoàn thành.</t>
  </si>
  <si>
    <t>Chỉ đạo đã quá hạn 17 ngày nhưng báo cáo vẫn chỉ nêu đang rà soát, không có dự thảo điều chỉnh, danh mục nhà cung cấp hoặc phương án phân cấp mua sắm. K.QLKPP phải báo cáo VPLĐ từng đầu ra, nội dung còn vướng và ngày trình phê duyệt; không tiếp tục duy trì một cập nhật không có giá trị kiểm soát.</t>
  </si>
  <si>
    <t>Quá hạn 17 ngày; chưa có dự thảo quy trình, danh mục nhà cung cấp hoặc phương án phân cấp; không có tiến triển giữa hai kỳ.</t>
  </si>
  <si>
    <t>Chỉ đạo đã quá hạn 10 ngày nhưng chưa có đầu ra cụ thể. K.QLKPP phải báo cáo VPLĐ phạm vi rà soát, phương án sửa đổi và thời hạn trình phê duyệt.</t>
  </si>
  <si>
    <t>Quá hạn 10 ngày; báo cáo chỉ nêu đang rà soát và điều chỉnh; chưa có sản phẩm bàn giao.</t>
  </si>
  <si>
    <t>Chỉ đạo đã quá hạn 84 ngày. Dù số văn bản hoàn thành tăng từ 58 lên 59, vẫn còn văn bản chưa thực hiện, đang dự thảo hoặc chờ ký; đặc biệt chưa xử lý dứt điểm toàn bộ nhóm văn bản từng được xác định có yếu tố vi phạm pháp luật. Khối QTRR&amp;GSTT phải lập danh sách đích danh từng văn bản còn tồn tại, đánh giá mức độ vi phạm, áp dụng biện pháp kiểm soát tạm thời và báo cáo VPLĐ ngày xử lý cuối cùng.</t>
  </si>
  <si>
    <t>Quá hạn 84 ngày; 59/70 văn bản đã hoàn thành; còn 6 văn bản trình ký, 2 văn bản dự thảo, 1 chưa thực hiện và các trường hợp hủy, gộp; trong tuần chỉ tăng thêm 1 văn bản hoàn thành.</t>
  </si>
  <si>
    <t>Chỉ đạo đã quá hạn 77 ngày; vẫn còn văn bản chưa thực hiện và các văn bản có yếu tố vi phạm pháp luật chưa được xử lý dứt điểm. Khối QTRR&amp;GSTT phải báo cáo VPLĐ trách nhiệm từng đơn vị, biện pháp hạn chế rủi ro trong thời gian chờ ban hành và thời hạn chốt toàn bộ danh mục.</t>
  </si>
  <si>
    <t>Quá hạn 77 ngày; 58/70 văn bản đã hoàn thành; còn 7 trình ký, 2 dự thảo và 1 chưa thực hiện.</t>
  </si>
  <si>
    <t>Chỉ đạo đã quá hạn 84 ngày; 2/10 văn bản chưa tuân thủ vẫn chưa hoàn thành và không có chuyển biến so với tuần trước. Ban Xử lý nợ và NHBL phải báo cáo VPLĐ ngay nguyên nhân, biện pháp kiểm soát tạm thời và ngày ban hành; không chấp nhận tiếp tục kéo dài đối với văn bản đã được xác định không tuân thủ pháp luật.</t>
  </si>
  <si>
    <t>Quá hạn 84 ngày; còn 2/10 văn bản chưa hoàn thành; Ban Xử lý nợ và NHBL không có tiến triển qua ít nhất hai kỳ báo cáo.</t>
  </si>
  <si>
    <t>Chỉ đạo đã quá hạn 77 ngày nhưng hai văn bản chưa tuân thủ vẫn chưa được xử lý dứt điểm. Thành viên Ban Tổng Giám đốc phụ trách phải chỉ đạo trực tiếp, quy trách nhiệm đơn vị chậm và báo cáo VPLĐ kết quả xử lý.</t>
  </si>
  <si>
    <t>Quá hạn 77 ngày; mới hoàn thành 8/10 văn bản; hai văn bản còn lại không có thời hạn hoàn tất.</t>
  </si>
  <si>
    <t>Chỉ đạo đã quá hạn 2 ngày nhưng vẫn đánh dấu đúng tiến độ trong khi Quy định chưa được HĐTV phê duyệt, ban hành. NHBL phải báo cáo VPLĐ tình trạng hồ sơ, vấn đề còn tồn tại và ngày ban hành. Nếu không có văn bản chính thức, tuyệt đối không được ghi nhận hoàn thành hoặc đúng tiến độ.</t>
  </si>
  <si>
    <t>Quá hạn 2 ngày; mốc 15/9 không đạt; Quy định vẫn đang trình HĐTV; chưa có văn bản ban hành.</t>
  </si>
  <si>
    <t>Việc phân phối vé đã được thực hiện nhưng báo cáo chưa chứng minh đã thiết lập nguyên tắc, tiêu chí, thẩm quyền phê duyệt và hồ sơ theo dõi người nhận. MKT&amp;PR phải báo cáo VPLĐ cơ chế kiểm soát chính thức, bảo đảm việc phân phối minh bạch, đúng đối tượng và có đầy đủ dấu vết phê duyệt.</t>
  </si>
  <si>
    <t>Đã phân phối vé qua Văn phòng Ban Lãnh đạo; chưa có quy định, tiêu chí ưu tiên, danh sách người nhận hoặc bằng chứng phê duyệt; nội dung không thay đổi giữa hai kỳ.</t>
  </si>
  <si>
    <t>MKT&amp;PR đang thực hiện phân phối vé nhưng chưa có cơ chế kiểm soát được báo cáo. Đơn vị phải cung cấp cho VPLĐ nguyên tắc phân phối, thẩm quyền phê duyệt và hồ sơ theo dõi.</t>
  </si>
  <si>
    <t>Đã thực hiện phân phối nhưng chưa có cơ chế hoặc hồ sơ kiểm soát được nêu trong báo cáo.</t>
  </si>
  <si>
    <t>Chỉ đạo đã quá hạn 79 ngày. Việc 11 biểu mẫu chỉ dùng nội bộ không loại trừ nghĩa vụ thay thế nhận diện DAB/HĐQT trong hệ thống văn bản còn hiệu lực. NHBL phải báo cáo VPLĐ kế hoạch xử lý từng biểu mẫu, biện pháp ngăn sử dụng sai và căn cứ kéo dài thời hạn đến 21/10/2026; không được coi việc “không sử dụng với khách hàng” là lý do để trì hoãn.</t>
  </si>
  <si>
    <t>Quá hạn 79 ngày; còn 11 biểu mẫu thuộc NHBL mang nhận diện cũ; chưa có biểu mẫu thay thế hoặc kế hoạch chuyển đổi chi tiết; dự kiến hoàn thành lùi đến 21/10/2026.</t>
  </si>
  <si>
    <t>Chỉ đạo đã quá hạn 72 ngày; NHBL mới hoàn thành việc rà soát phạm vi nhưng chưa xử lý 11 biểu mẫu còn nhận diện cũ. Đơn vị phải báo cáo VPLĐ trình tự thay thế, đầu mối thực hiện và thời hạn từng biểu mẫu.</t>
  </si>
  <si>
    <t>Quá hạn 72 ngày; xác định 11 biểu mẫu còn liên quan nhưng chưa xử lý; dự kiến lùi đến 21/10/2026.</t>
  </si>
  <si>
    <t>Cách xử lý</t>
  </si>
  <si>
    <t>Chịu trách nhiệm (PIC)</t>
  </si>
  <si>
    <t>Mức độ</t>
  </si>
  <si>
    <t>Ý nghĩa đối với Ban Kiểm soát</t>
  </si>
  <si>
    <t>Căn cứ phân loại</t>
  </si>
  <si>
    <t>Cách nhận biết từ dữ liệu, bằng chứng</t>
  </si>
  <si>
    <t>Cần can thiệp hoặc báo cáo ngay. Chỉ đạo có nguy cơ gây hậu quả nghiêm trọng hoặc khó khắc phục nếu tiếp tục chậm trễ.</t>
  </si>
  <si>
    <t>Có nguy cơ ảnh hưởng nghiêm trọng đến an toàn hoạt động, tuân thủ pháp luật, thanh khoản, vốn, dữ liệu trọng yếu hoặc hệ thống cốt lõi. Mốc bắt buộc đã đến gần hoặc đã qua nhưng điều kiện sẵn sàng chưa được đáp ứng. Vướng mắc vượt thẩm quyền điều hành và cần quyết định của Chủ sở hữu hoặc Ban Kiểm soát.</t>
  </si>
  <si>
    <t>Quá hạn gắn với hậu quả trọng yếu; chưa hoàn thành điều kiện bắt buộc hoặc điều kiện go-live; chưa có phương án kiểm soát rủi ro; báo cáo sai trạng thái có thể dẫn đến quyết định không chính xác; vấn đề cần cấp có thẩm quyền xử lý nhưng chưa được trình.</t>
  </si>
  <si>
    <t>Không có PIC đối với chỉ đạo trọng yếu; PIC không có thẩm quyền xử lý điểm nghẽn; nhiều PIC nhưng không xác định người chịu trách nhiệm cuối cùng; PIC đã thay đổi hoặc không còn đảm nhiệm nhưng chưa bàn giao; PIC không phản hồi trong khi hậu quả tiếp tục gia tăng.</t>
  </si>
  <si>
    <t>Báo cáo ngay Chủ sở hữu hoặc Ban Kiểm soát. Xác định rõ một PIC chịu trách nhiệm cuối cùng, hậu quả, quyết định cần xử lý và thời hạn khắc phục. Theo dõi đến khi rủi ro được kiểm soát.</t>
  </si>
  <si>
    <t>Cần giám sát tăng cường. Đã xuất hiện sai lệch đáng kể hoặc nguy cơ không hoàn thành chỉ đạo.</t>
  </si>
  <si>
    <t>Đã quá hạn nhưng chưa hoàn thành đầy đủ; dự kiến muộn hơn thời hạn; không có dự kiến mới sau khi quá hạn; hoàn thành một phần; nhiều lần thay đổi mốc; trách nhiệm hoặc phụ thuộc chưa được tháo gỡ; trạng thái nguồn không phù hợp với tiến độ thực tế.</t>
  </si>
  <si>
    <t>Số ngày còn lại cho thấy quá hạn; Dự kiến mới nhất để trống hoặc muộn hơn hạn; thay đổi thời hạn hoặc dự kiến nhiều lần; xuất hiện tại nhiều kỳ họp; phần tiến độ còn “đang”, “chờ”, “dự kiến”, “phối hợp”; phạm vi thực hiện hẹp hơn chỉ đạo; đánh dấu hoàn thành hoặc đúng tiến độ không phù hợp với kết quả thực tế.</t>
  </si>
  <si>
    <t>PIC đã được ghi nhận nhưng trách nhiệm không rõ; ghi tên đơn vị chung thay vì đầu mối chịu trách nhiệm cuối cùng; nhiều cá nhân hoặc đơn vị cùng là PIC nhưng không xác định PIC chính; tiến độ cho thấy công việc đang chờ đơn vị khác nhưng PIC không có hành động tháo gỡ; chỉ đạo quá hạn nhưng PIC chưa cam kết ngày hoàn thành mới.</t>
  </si>
  <si>
    <t>Theo dõi hằng tuần. Yêu cầu xác nhận PIC chính, các bên phối hợp, đầu ra còn thiếu, kế hoạch khắc phục và ngày hoàn thành mới. Báo cáo lên cấp có thẩm quyền nếu không chuyển biến.</t>
  </si>
  <si>
    <t>Cần theo dõi và xác minh. Chưa có sai lệch nghiêm trọng nhưng thông tin hoặc bằng chứng chưa đủ để xác nhận trạng thái.</t>
  </si>
  <si>
    <t>Chưa quá hạn nhưng tiến độ chưa chứng minh khả năng hoàn thành; thiếu bằng chứng đầu ra; chưa rõ tiêu chí đóng; có chênh lệch nhỏ giữa chỉ đạo và kết quả; có phụ thuộc nhưng vẫn còn thời gian xử lý; chất lượng dữ liệu chưa đáng tin cậy.</t>
  </si>
  <si>
    <t>Tiến độ chủ yếu mô tả hoạt động như đã họp, đã gửi, đang trình hoặc đang phối hợp; chưa có văn bản phê duyệt, kết quả nghiệm thu hoặc số liệu thực hiện; kết quả chưa trả lời trực tiếp mục tiêu; chưa rõ điều kiện kết luận hoàn thành.</t>
  </si>
  <si>
    <t>Có PIC nhưng chỉ ghi tên viết tắt, chức danh hoặc tên đơn vị chưa đủ rõ; PIC chưa xuất hiện nhất quán giữa các Snapshot; chỉ đạo giao cho cá nhân nhưng dữ liệu ghi PIC là đơn vị, hoặc ngược lại; chưa xác định ranh giới trách nhiệm giữa PIC và bên phối hợp.</t>
  </si>
  <si>
    <t>Yêu cầu làm rõ PIC, phạm vi trách nhiệm và bằng chứng tiến độ. Kiểm tra lại tại kỳ báo cáo tiếp theo. Chuyển Cam nếu trách nhiệm không được làm rõ hoặc bắt đầu có nguy cơ trễ hạn.</t>
  </si>
  <si>
    <t>Giám sát thông thường hoặc đủ điều kiện đóng. Chỉ đạo đang được thực hiện phù hợp với cam kết hoặc đã hoàn thành có thể kiểm chứng.</t>
  </si>
  <si>
    <t>Chưa đến hạn, có mốc tiếp theo rõ và tiến độ phù hợp; hoặc toàn bộ đầu ra đã hoàn thành đúng phạm vi, có bằng chứng và không còn hành động trọng yếu.</t>
  </si>
  <si>
    <t>Có thời hạn và kế hoạch rõ; kết quả phù hợp với thời gian còn lại; có số liệu, văn bản, giao phẩm hoặc biên bản nghiệm thu; phạm vi thực tế khớp với chỉ đạo; không còn nội dung trọng yếu đang thực hiện hoặc chờ phê duyệt.</t>
  </si>
  <si>
    <t>Có PIC cụ thể, phù hợp với yêu cầu chỉ đạo và nhất quán qua các Snapshot; nếu có nhiều bên tham gia thì xác định rõ PIC chính và các bên phối hợp; PIC đã cung cấp bằng chứng đầu ra hoặc cam kết mốc tiếp theo phù hợp.</t>
  </si>
  <si>
    <t>Theo dõi định kỳ nếu đang thực hiện. Đóng chỉ đạo sau khi xác minh đầy đủ đầu ra, phạm vi, bằng chứng và trách nhiệm hoàn tất.</t>
  </si>
  <si>
    <t>Chưa thể phân loại. Không phải mức rủi ro thấp mà là chưa đủ dữ liệu để xác định mức độ tập trung giám sát.</t>
  </si>
  <si>
    <t>Không xác định được đầu ra; không có thời hạn và không rõ có phải nhiệm vụ thường xuyên; tiến độ trống hoặc quá chung chung; không xác định được phạm vi hoàn thành; một dòng chứa nhiều đầu ra nhưng không biết nội dung nào đã hoàn tất.</t>
  </si>
  <si>
    <t>Thời hạn và Dự kiến hoàn thành cùng để trống; tiến độ chỉ ghi “đã nhận chỉ đạo”, “thực hiện theo chỉ đạo” hoặc không có cập nhật; nội dung chỉ đạo không đo lường được; không thể đối chiếu yêu cầu với kết quả.</t>
  </si>
  <si>
    <t>PIC để trống; PIC ghi chung chung như “các đơn vị liên quan”; không xác định được PIC là cá nhân hay đơn vị; thông tin PIC mâu thuẫn với nội dung chỉ đạo; có nhiều tên nhưng không thể xác định ai chịu trách nhiệm cuối cùng.</t>
  </si>
  <si>
    <t>Yêu cầu bổ sung hoặc chuẩn hóa PIC, mục tiêu, đầu ra, thời hạn, trạng thái và bằng chứng. Không mặc định Xám là ít quan trọng hoặc đã được kiểm soát.</t>
  </si>
  <si>
    <t>ĐỎ</t>
  </si>
  <si>
    <t>CAM</t>
  </si>
  <si>
    <t>VÀNG</t>
  </si>
  <si>
    <t>XANH</t>
  </si>
  <si>
    <t>XÁM</t>
  </si>
  <si>
    <t>Phân loại mức độ tập trung giám sát</t>
  </si>
  <si>
    <t>Ý nghĩa của từng mức độ, căn cứ phân loại và cách nhận biết từ dữ liệu, bằng chứng</t>
  </si>
  <si>
    <t>NGÂN HÀNG BÁN LẺ</t>
  </si>
  <si>
    <t>KHỐI TÍN DỤNG</t>
  </si>
  <si>
    <t>A. Điền, Duyên</t>
  </si>
  <si>
    <t>Anh Minh / Anh Hải_Ngô: FinX</t>
  </si>
  <si>
    <t>PHÒNG MARKETING &amp; PR</t>
  </si>
  <si>
    <t>KHỐI NHÂN SỰ</t>
  </si>
  <si>
    <t>KHỐI QUẢN LÝ KÊNH PHÂN PHỐI VÀ TÁC NGHIỆP</t>
  </si>
  <si>
    <t>TRUNG TÂM CÔNG NGHỆ + TRUNG TÂM THẺ</t>
  </si>
  <si>
    <t>Chủ trì: Ms Trâm Anh - PTGĐ</t>
  </si>
  <si>
    <t>Anh Dũng</t>
  </si>
  <si>
    <t>Anh Quốc Bình</t>
  </si>
  <si>
    <t>Chủ trì: Mr Thành - PTGĐ
Thực hiện: Ms Giàu - VP.</t>
  </si>
  <si>
    <t>Anh Tuấn Anh / Nghĩa</t>
  </si>
  <si>
    <t>PHÒNG KINH DOANH TIỀN TỆ</t>
  </si>
  <si>
    <t>Chủ trì: Mr Thành - PTGĐ
Thực hiện: Ms Giàu - VP</t>
  </si>
  <si>
    <t>VĂN PHÒNG</t>
  </si>
  <si>
    <t>Chủ trì: Mr Hồ - TCKH
Phối hợp: các khối, GĐKV</t>
  </si>
  <si>
    <t>KHỐI QUẢN TRỊ RỦI RO &amp; GIÁM SÁT TUÂN THỦ</t>
  </si>
  <si>
    <t>A. Vũ, A. Tài</t>
  </si>
  <si>
    <t>Chủ trì: Mr Hải Bùi - NHBL
Phối hợp: Ms Diệu Thảo - TTCN; Đông Dương; PR&amp;MKT; Mua sắm;</t>
  </si>
  <si>
    <t>A. Dũng</t>
  </si>
  <si>
    <t>KHỐI TÀI CHÍNH KẾ HOẠCH</t>
  </si>
  <si>
    <t>CÔNG TY KIỀU HỐI</t>
  </si>
  <si>
    <t>Chủ trì: Ms Châu - Nhân sự
Phối hợp: Ms Giàu - VP</t>
  </si>
  <si>
    <t>Thành viên Ban Tổng Giám đốc</t>
  </si>
  <si>
    <t>Chủ trì: Ms Diệu Thảo - TTCN</t>
  </si>
  <si>
    <t>Chủ trì: Mr Thành - PTGĐ
Thực hiện: Ms Châu - Nhân sự</t>
  </si>
  <si>
    <t>Ngọc - Thư ký chị Diệu Thảo</t>
  </si>
  <si>
    <t>Chủ trì: Mr Thành - PTGĐ
Thực hiện: Ms Châu - Nhân sự; Ms Giàu - VP.</t>
  </si>
  <si>
    <t>BAN XỬ LÝ NỢ</t>
  </si>
  <si>
    <t>Chủ trì : Ms Thủy - GĐ Đào tạo
Phối hợp: Ms Giàu - VP</t>
  </si>
  <si>
    <t>Chủ trì phối hợp: Mr Hải Bùi - NHBL</t>
  </si>
  <si>
    <t>Chủ trì: Mr Quốc Anh - NHBL
Phối hợp: GĐKV</t>
  </si>
  <si>
    <t>Chị Ngọc Phương</t>
  </si>
  <si>
    <t>Anh Vũ</t>
  </si>
  <si>
    <t>Chủ trì: Mr Quốc Anh - NHBL</t>
  </si>
  <si>
    <t>A. Khoa, A. Vũ</t>
  </si>
  <si>
    <t>Nhận biết về trách nhiệm</t>
  </si>
  <si>
    <t>Chỉ đạo đã quá hạn 19 ngày; báo cáo hai kỳ không thay đổi, vẫn chưa có kịch bản kinh doanh hoặc chương trình cụ thể cho kỳ nghỉ lễ dài kế tiếp. Ban Điều hành cần yêu cầu Phòng MKT&amp;PR trình kịch bản cho kỳ nghỉ dài kế tiếp, nêu hoạt động huy động vốn online duy trì liên tục và ngày hoàn tất xây dựng chương trình.</t>
  </si>
  <si>
    <t>Quá hạn 19 ngày; chưa có kịch bản kinh doanh hoặc chương trình marketing cho kỳ nghỉ lễ dài kế tiếp; báo cáo không thay đổi so với kỳ 10/9/2026.</t>
  </si>
  <si>
    <t>Chỉ đạo đã quá hạn 12 ngày nhưng báo cáo chỉ nêu các hoạt động truyền thông thường lệ trong kỳ nghỉ, chưa có kịch bản kinh doanh hoặc chương trình cụ thể cho kỳ nghỉ lễ dài kế tiếp. Ban Điều hành cần yêu cầu Phòng MKT&amp;PR trình kịch bản cho kỳ nghỉ dài kế tiếp, nêu hoạt động huy động vốn online duy trì liên tục và ngày hoàn tất xây dựng chương trình.</t>
  </si>
  <si>
    <t>Quá hạn 12 ngày; mới nêu các hoạt động truyền thông thường lệ; chưa có kịch bản kinh doanh hoặc chương trình marketing cho kỳ nghỉ lễ dài kế tiếp.</t>
  </si>
  <si>
    <t>Chỉ đạo đã quá hạn 59 ngày; dự thảo hoàn thành ngày 17/9/2026 nhưng vẫn đang Ban lãnh đạo NHBL xem xét, chưa đến được Phó Tổng Giám đốc phụ trách và chưa có phê duyệt. Ban Điều hành cần yêu cầu NHBL báo cáo ngày trình PTGĐ phụ trách và kế hoạch ban hành, bảo đảm không trượt tiếp mốc dự kiến 30/9/2026.</t>
  </si>
  <si>
    <t>Quá hạn 59 ngày; dự thảo hoàn thành ngày 17/9/2026 nhưng chưa có kết quả phê duyệt; dự kiến 30/9/2026 muộn hơn thời hạn 72 ngày.</t>
  </si>
  <si>
    <t>Chỉ đạo đã quá hạn 52 ngày; dự thảo mới hoàn thành và đang trình Ban lãnh đạo NHBL xem xét, chưa trình Phó Tổng Giám đốc phụ trách theo yêu cầu. Ban Điều hành cần yêu cầu NHBL báo cáo ngày trình PTGĐ phụ trách, kết quả xem xét và kế hoạch ban hành trước ngày dự kiến 30/9/2026.</t>
  </si>
  <si>
    <t>Quá hạn 52 ngày; dự thảo đang Ban lãnh đạo NHBL xem xét; dự kiến hoàn thành 30/9/2026 muộn hơn thời hạn 72 ngày.</t>
  </si>
  <si>
    <t>Chỉ đạo không giao thời hạn và báo cáo chỉ nêu mức phối hợp triển khai chung, chưa có số lượng nhân sự PR&amp;MKT đã tuyển dụng hoặc số hợp đồng đã ký trực tiếp. Khối Nhân sự cần xác lập thời hạn thực hiện, báo cáo VPLĐ số lượng đã tuyển dụng, số hợp đồng đã ký và kế hoạch tuyển dụng tiếp theo.</t>
  </si>
  <si>
    <t>Không giao thời hạn; chưa có số nhân sự đã tuyển dụng hoặc số hợp đồng đã ký trực tiếp; báo cáo không thay đổi giữa hai kỳ.</t>
  </si>
  <si>
    <t>Còn 13 ngày đến hạn Quý 3/2026 nhưng báo cáo hai kỳ không thay đổi, vẫn chưa có kết quả trình hội đồng phê duyệt thẻ theo tờ trình 26/TTr-NHBL-TTT. Trung tâm Công nghệ và Trung tâm Thẻ cần báo cáo VPLĐ kết quả trình duyệt, ngày cấp thẻ và mở tài khoản, kế hoạch sản phẩm tiết kiệm đặc thù trước ngày 30/9/2026.</t>
  </si>
  <si>
    <t>Còn 13 ngày; chưa có kết quả trình hội đồng phê duyệt thẻ; báo cáo không thay đổi so với kỳ 10/9/2026, tờ trình 26/TTr-NHBL-TTT đã lập.</t>
  </si>
  <si>
    <t>Còn 20 ngày đến hạn Quý 3/2026 nhưng báo cáo vẫn dừng ở tờ trình số 26/TTr-NHBL-TTT và kế hoạch trình hội đồng phê duyệt thẻ từ 25/8/2026, chưa có kết quả phê duyệt. Trung tâm Công nghệ và Trung tâm Thẻ cần báo cáo VPLĐ kết quả trình duyệt, ngày cấp thẻ và mở tài khoản tức thì, kế hoạch xây dựng sản phẩm tiết kiệm đặc thù giữ chân dòng vốn kiều hối trước ngày 30/9/2026.</t>
  </si>
  <si>
    <t>Còn 20 ngày; chính sách hạn mức và bộ tiêu chí phê duyệt đã lập theo tờ trình 26/TTr-NHBL-TTT; chưa có kết quả trình hội đồng phê duyệt thẻ dự kiến từ 25/8/2026.</t>
  </si>
  <si>
    <t>Còn 13 ngày đến hạn Quý 3/2026 nhưng báo cáo hai kỳ không thay đổi, chưa có kết quả rà soát năng lực PAIC và phương án giải pháp thanh toán tổng thể. NHBL cần yêu cầu Galaxy Holding và Trung tâm Thẻ báo cáo kết quả nghiên cứu, phương án trình phê duyệt và ngày hoàn thành trước ngày 30/9/2026.</t>
  </si>
  <si>
    <t>Còn 13 ngày; chưa có kết quả rà soát PAIC hoặc phương án giải pháp thanh toán; giải pháp đang chờ Galaxy Holding nghiên cứu; báo cáo không thay đổi giữa hai kỳ.</t>
  </si>
  <si>
    <t>Còn 20 ngày đến hạn Quý 3/2026 nhưng đầu ra mới dừng ở định hướng phát triển thẻ tương tự Thẻ Petrolimex 4in1 và chuyển nghiên cứu giải pháp thanh toán cho Galaxy Holding, chưa có kết quả rà soát năng lực PAIC. NHBL cần yêu cầu các đơn vị chịu trách nhiệm báo cáo VPLĐ kết quả rà soát PAIC, phương án giải pháp thanh toán tổng thể và ngày trình phê duyệt trước ngày 30/9/2026.</t>
  </si>
  <si>
    <t>Còn 20 ngày; mới có định hướng thẻ và chính sách cấp tín dụng cho khách hàng tổ chức; giải pháp thanh toán đã chuyển Galaxy Holding nghiên cứu; chưa có kết quả rà soát PAIC.</t>
  </si>
  <si>
    <t>Chỉ đạo đã quá hạn 102 ngày nhưng kết quả mới dừng ở việc gửi công văn, chưa có bằng chứng công trình đã được bảo trì. Ban Điều hành cần yêu cầu K.QLKPP báo cáo rõ tình trạng triển khai, kinh phí đã tạm ứng, đơn vị thực hiện và thời hạn hoàn thành dứt điểm.</t>
  </si>
  <si>
    <t>Quá hạn 102 ngày; mới có công văn triển khai; chưa có kết quả thi công, nghiệm thu hoặc thời hạn hoàn thành.</t>
  </si>
  <si>
    <t>Công trình có chuyển động thực chất giữa hai kỳ nhưng chỉ đạo vẫn không có thời hạn cho từng hạng mục và sảnh chính tầng trệt vẫn chờ phê duyệt thiết kế. Khối QLKPP cần yêu cầu PTML/XDCB báo cáo VPLĐ ngày phê duyệt thiết kế, lịch thi công các hạng mục còn lại và xác nhận ngày bàn giao khu văn phòng 05/10/2026.</t>
  </si>
  <si>
    <t>Không giao thời hạn; khu văn phòng đạt 98%, tăng 1 điểm phần trăm so với kỳ trước; hạng mục sân vườn đang thiết kế concept; sảnh chính chờ phê duyệt thiết kế.</t>
  </si>
  <si>
    <t>Chỉ đạo không giao thời hạn cụ thể cho từng hạng mục; báo cáo cho thấy khu văn phòng đạt 97%, sảnh chính tầng trệt còn chờ chủ trương phê duyệt thiết kế. Khối QLKPP cần yêu cầu PTML/XDCB xác lập ngày hoàn thành cho từng hạng mục còn lại của Marina và Hà Nội, báo cáo VPLĐ kế hoạch bàn giao khu văn phòng theo dự kiến 05/10/2026.</t>
  </si>
  <si>
    <t>Không giao thời hạn; khu văn phòng Vikki-Marina đạt 97% dự kiến bàn giao 05/10/2026; sảnh chính tầng trệt còn chờ phê duyệt thiết kế; hạng mục sân vườn đang triển khai.</t>
  </si>
  <si>
    <t>Còn 13 ngày đến hạn tháng 9/2026 nhưng công việc mới dừng ở khảo sát, điều chỉnh thiết kế và lập chi phí trình Ban lãnh đạo phê duyệt, chưa có kế hoạch thi công và khai trương. Ban Điều hành cần yêu cầu K.QLKPP báo cáo ngày trình duyệt chi phí, kế hoạch thi công và phương án bảo đảm Vikkafe vận hành trong tháng 9/2026; nếu không khả thi, trình thời hạn mới có căn cứ để phê duyệt.</t>
  </si>
  <si>
    <t>Còn 13 ngày; mới hoàn thành khảo sát, điều chỉnh thiết kế và lập chi phí trình phê duyệt; chưa có kế hoạch thi công hoặc ngày vận hành.</t>
  </si>
  <si>
    <t>Đến kỳ báo cáo ngày 17/9/2026, đơn vị thực hiện chưa nêu bất kỳ kết quả nào về agenda, đối tác, tài liệu hoặc phương án hợp tác Mastercard cho chuyến công tác Mỹ. Văn phòng cần yêu cầu đầu mối (chủ trì PTGĐ Thành, thực hiện Ms Giàu) báo cáo tình trạng chuẩn bị từng hạng mục, sản phẩm đầu ra và đề xuất thời hạn hoàn tất để Ban Điều hành theo dõi.</t>
  </si>
  <si>
    <t>Không giao thời hạn; kỳ báo cáo 17/9/2026 không có nội dung tiến độ; chưa có kết quả chuẩn bị agenda, đối tác, tài liệu hoặc phương án hợp tác Mastercard.</t>
  </si>
  <si>
    <t>Chỉ đạo đã quá hạn 33 ngày; dự thảo vẫn đang chờ phê duyệt, không có tiến triển thực chất so với kỳ 10/9/2026, dự kiến hoàn tất Quý III/2026 muộn hơn thời hạn 46 ngày. Ban Điều hành cần yêu cầu Khối Nhân sự báo cáo kết quả trình duyệt, nguyên nhân trễ và ngày ban hành cụ thể.</t>
  </si>
  <si>
    <t>Quá hạn 33 ngày; dự thảo vẫn chờ phê duyệt; không có tiến triển thực chất so với kỳ trước; dự kiến Quý III/2026 muộn hơn thời hạn 46 ngày.</t>
  </si>
  <si>
    <t>Chỉ đạo đã quá hạn 26 ngày; dự thảo khung lương đã trình nhưng chưa được phê duyệt và dự kiến hoàn tất lùi sang Quý III/2026, muộn hơn thời hạn 46 ngày. Ban Điều hành cần yêu cầu Khối Nhân sự báo cáo ngày trình phê duyệt, nguyên nhân trễ và kế hoạch ban hành cụ thể.</t>
  </si>
  <si>
    <t>Quá hạn 26 ngày; mới có dự thảo đã trình chờ phê duyệt; dự kiến Quý III/2026 muộn hơn thời hạn 46 ngày.</t>
  </si>
  <si>
    <t>Còn 13 ngày đến hạn Quý 3/2026 nhưng báo cáo hai kỳ không thay đổi, vẫn chưa có giao dịch đầu tư thực tế nào được ghi nhận. Phòng Kinh doanh Tiền tệ cần báo cáo VPLĐ giá trị đã đầu tư, loại tài sản và ngày hoàn thành; nếu dự kiến tháng 9/2026 không khả thi, trình phương án điều chỉnh để Ban Điều hành xem xét.</t>
  </si>
  <si>
    <t>Còn 13 ngày; kế hoạch dự kiến 5.800 tỷ đồng GTCG không thay đổi; chưa có bằng chứng giao dịch đã thực hiện.</t>
  </si>
  <si>
    <t>Còn 20 ngày đến hạn Quý 3/2026 nhưng báo cáo mới nêu kế hoạch dự kiến đầu tư 5.800 tỷ đồng vào giấy tờ có giá do tổ chức tín dụng phát hành, chưa có giao dịch thực hiện. Phòng Kinh doanh Tiền tệ cần báo cáo VPLĐ giá trị đã đầu tư thực tế, loại tài sản, đối tác phát hành và ngày hoàn thành trước ngày 30/9/2026.</t>
  </si>
  <si>
    <t>Còn 20 ngày; mới nêu kế hoạch dự kiến 5.800 tỷ đồng GTCG; chưa có bằng chứng giao dịch đã thực hiện; thời gian thực hiện phụ thuộc nguồn vốn nhàn rỗi và thỏa thuận đối tác.</t>
  </si>
  <si>
    <t>Còn 13 ngày đến hạn Quý III/2026 nhưng báo cáo hai kỳ không thay đổi, chưa có kế hoạch truyền thông hoặc kết quả cụ thể nào được ghi nhận. Phòng MKT&amp;PR cần trình kế hoạch quảng bá, phân công phối hợp chi tiết với QLKPP và ĐVKD cùng ngày hoàn tất trước ngày 30/9/2026.</t>
  </si>
  <si>
    <t>Còn 13 ngày; báo cáo không thay đổi so với kỳ 10/9/2026; chưa có kế hoạch truyền thông hoặc kết quả quảng bá.</t>
  </si>
  <si>
    <t>Còn 20 ngày đến hạn Quý III/2026 nhưng báo cáo chỉ nêu tiếp nhận thông tin và phối hợp với các phòng ban, chưa có kế hoạch truyền thông, danh mục kênh hoặc kết quả quảng bá mạng lưới mới. Phòng MKT&amp;PR cần trình Ban Điều hành kế hoạch quảng bá cụ thể theo giai đoạn, chỉ tiêu nhận diện thương hiệu và ngày hoàn thành trước ngày 30/9/2026.</t>
  </si>
  <si>
    <t>Còn 20 ngày; mới có nội dung phối hợp chung; chưa có kế hoạch truyền thông hoặc kết quả quảng bá mạng lưới mới.</t>
  </si>
  <si>
    <t>Chỉ đạo không giao thời hạn; đến kỳ báo cáo 17/9/2026 vẫn chỉ có dự thảo đang nghiên cứu, không có tiến triển thực chất so với kỳ 10/9/2026. Khối Nhân sự cần xác lập thời hạn hoàn thành dự thảo, báo cáo VPLĐ phạm vi đối tượng, nguyên tắc chi trả và ngày trình phê duyệt.</t>
  </si>
  <si>
    <t>Không giao thời hạn; vẫn dừng ở nghiên cứu xây dựng dự thảo; không có tiến triển thực chất so với kỳ trước; chưa có ngày trình phê duyệt.</t>
  </si>
  <si>
    <t>Chỉ đạo không giao thời hạn và công việc mới dừng ở nghiên cứu xây dựng dự thảo, chưa có dự thảo hoàn chỉnh hoặc kết quả trình phê duyệt. Khối Nhân sự cần xác lập thời hạn hoàn thành dự thảo chính sách phụ cấp bằng cấp chuyên môn thứ hai, báo cáo VPLĐ phạm vi đối tượng, nguyên tắc chi trả và ngày trình phê duyệt phù hợp mốc dự kiến Quý IV/2026.</t>
  </si>
  <si>
    <t>Không giao thời hạn; mới nghiên cứu xây dựng dự thảo; chưa có dự thảo hoàn chỉnh hoặc kết quả trình duyệt; báo cáo không thay đổi giữa hai kỳ.</t>
  </si>
  <si>
    <t>Chỉ đạo không giao thời hạn; báo cáo hai kỳ không thay đổi, vẫn dừng ở hai kế hoạch theo mốc đầu tháng 9/2026, chưa có đề án trình phê duyệt. K.QLKPP cần yêu cầu hoàn thiện đề án phát triển Vikkafe kèm tiêu chuẩn đào tạo CBNV, xác định ngày trình Ban lãnh đạo và lộ trình triển khai.</t>
  </si>
  <si>
    <t>Không giao thời hạn; hai kế hoạch theo mốc 04/9 và 09/9/2026 không thay đổi; chưa có đề án trình phê duyệt hoặc kết quả phê duyệt.</t>
  </si>
  <si>
    <t>Chỉ đạo không giao thời hạn; báo cáo mới dừng ở hoàn thiện kế hoạch kinh doanh 10 năm và xây dựng kế hoạch bán hàng ngoài ngân hàng, chưa có đề án trình phê duyệt. K.QLKPP cần yêu cầu đơn vị thực hiện hoàn thiện đề án phát triển Vikkafe thành điểm trải nghiệm tài chính số kèm chương trình đào tạo CBNV, trình Ban lãnh đạo kèm thời hạn cụ thể.</t>
  </si>
  <si>
    <t>Không giao thời hạn; đã có kế hoạch kinh doanh 10 năm (mốc 04/9/2026) và kế hoạch bán Vikkafe out bank (mốc 09/9/2026); chưa có đề án trình phê duyệt; báo cáo không thay đổi giữa hai kỳ.</t>
  </si>
  <si>
    <t>Chỉ đạo đã quá hạn 23 ngày; phạm vi chỉ đạo vẫn chưa được làm rõ và chưa có kế hoạch hành động cho mục tiêu doanh số bảo hiểm 1.000 tỷ đồng. Ban Điều hành cần yêu cầu NHBL trình kết luận của Ban lãnh đạo về phạm vi, kế hoạch hành động chi tiết và thời hạn hoàn thành từng hạng mục.</t>
  </si>
  <si>
    <t>Quá hạn 23 ngày; chưa có kết luận phạm vi chỉ đạo; chưa có kế hoạch hành động cho mục tiêu 1.000 tỷ đồng; báo cáo không thay đổi so với kỳ trước.</t>
  </si>
  <si>
    <t>Chỉ đạo đã quá hạn 16 ngày nhưng tồn tại hai cách hiểu khác nhau: đơn vị báo cáo đây là chỉ đạo cho hoạt động bảo hiểm của tập đoàn, không dành riêng cho Vikki Bank, trong khi văn bản giao mục tiêu doanh số 1.000 tỷ đồng trong 4 tháng cuối năm cho việc triển khai. Ban Điều hành cần yêu cầu NHBL xác nhận phạm vi chỉ đạo với Ban lãnh đạo, trình kế hoạch hành động, danh mục sản phẩm và chương trình đào tạo kèm thời hạn.</t>
  </si>
  <si>
    <t>Quá hạn 16 ngày; chưa có kế hoạch hành động, danh mục sản phẩm hoặc chương trình đào tạo cho mục tiêu 1.000 tỷ đồng; đơn vị báo cáo chỉ đạo thuộc phạm vi tập đoàn, chưa có kết luận thẩm quyền.</t>
  </si>
  <si>
    <t>Chỉ đạo đã quá hạn 20 ngày; dự thảo vẫn đang chờ phê duyệt, không có tiến triển thực chất so với kỳ 10/9/2026. Ban Điều hành cần yêu cầu Văn phòng báo cáo kết quả trình duyệt, ngày phát hành quyết định thành lập Ban và lộ trình vận hành mô hình Squad cho các dự án Core và Citizen Card.</t>
  </si>
  <si>
    <t>Quá hạn 20 ngày; dự thảo vẫn chờ phê duyệt; không có tiến triển thực chất so với kỳ trước; chưa có quyết định thành lập Ban.</t>
  </si>
  <si>
    <t>Chỉ đạo đã quá hạn 13 ngày nhưng dự thảo thành lập Ban Phát triển Sản phẩm vẫn đang chờ phê duyệt, chưa có quyết định ban hành. Ban Điều hành cần yêu cầu Văn phòng theo dõi kết quả phê duyệt, báo cáo ngày phát hành quyết định và thành phần Ban theo thiết kế liên phòng ban đã đề xuất.</t>
  </si>
  <si>
    <t>Quá hạn 13 ngày; mới có dự thảo đã trình chờ phê duyệt; chưa có quyết định thành lập Ban Phát triển Sản phẩm.</t>
  </si>
  <si>
    <t>Còn 23 ngày đến hạn trước 10/10/2026 nhưng tờ trình vẫn đang ở giai đoạn Giám đốc khu vực phê duyệt, không có tiến triển thực chất so với kỳ trước. K.QLKPP cần yêu cầu PTML báo cáo kết quả góp ý từng khu vực, ngày trình Ban lãnh đạo và phương án bảo đảm hoàn thành báo cáo trước hạn.</t>
  </si>
  <si>
    <t>Còn 23 ngày; tờ trình vẫn chờ Giám đốc khu vực phê duyệt; không có tiến triển thực chất so với kỳ trước; chưa có ngày trình Ban lãnh đạo.</t>
  </si>
  <si>
    <t>Còn 30 ngày đến hạn trước 10/10/2026 nhưng tờ trình mở mới 2027 đang trình các Giám đốc khu vực phê duyệt, chưa hoàn thiện báo cáo trình Ban lãnh đạo theo yêu cầu. K.QLKPP cần yêu cầu PTML hoàn tất góp ý của các Giám đốc khu vực, xác định ngày trình Ban lãnh đạo và kế hoạch song song chuẩn bị mặt bằng, nhân sự, ngân sách cho các địa bàn ưu tiên 2027.</t>
  </si>
  <si>
    <t>Còn 30 ngày; tờ trình mở mới 2027 đang trình Giám đốc khu vực phê duyệt; chưa hoàn thiện báo cáo trình Ban lãnh đạo.</t>
  </si>
  <si>
    <t>Còn 1 ngày đến hạn trước 18/9/2026 nhưng báo cáo mới nêu đang thực hiện dự báo Quý 3/2026 và phối hợp xây dựng kế hoạch hành động Quý 4/2026, chưa có sản phẩm hoàn chỉnh. Khối TCKH cần trình Ban Điều hành kết quả dự báo Quý 3/2026 và kế hoạch hành động Quý 4/2026, nêu ngày trình Ban lãnh đạo theo chỉ đạo.</t>
  </si>
  <si>
    <t>Còn 1 ngày; mới có nội dung đang thực hiện và phối hợp các khối; chưa có dự báo hoàn chỉnh hoặc kế hoạch hành động Quý 4/2026.</t>
  </si>
  <si>
    <t>Chỉ đạo không giao thời hạn; báo cáo hai kỳ không thay đổi, chưa có phương án nghiên cứu ứng dụng quản trị nhân sự. Khối Nhân sự cần báo cáo VPLĐ tiến độ nghiên cứu, phạm vi số hóa, kế hoạch phối hợp với NHBL và thời gian trình phương án.</t>
  </si>
  <si>
    <t>Không giao thời hạn; vẫn chưa có phương án nghiên cứu; vẫn chờ thông tin từ Khối Nhân sự; không có tiến triển giữa hai kỳ.</t>
  </si>
  <si>
    <t>Chỉ đạo không giao thời hạn và báo cáo chỉ nêu mức phối hợp khi nhận được thông tin từ Khối Nhân sự, chưa có phương án nghiên cứu hoặc kết quả nào được ghi nhận. Khối Nhân sự là đơn vị chủ trì cần xác lập lộ trình nghiên cứu, phân công vai trò NHBL và báo cáo VPLĐ phương án số hóa quản trị nhân sự kèm thời hạn.</t>
  </si>
  <si>
    <t>Không giao thời hạn; chưa có phương án nghiên cứu; NHBL chờ thông tin từ Khối Nhân sự; báo cáo không thay đổi giữa hai kỳ.</t>
  </si>
  <si>
    <t>Chỉ đạo đã quá hạn 84 ngày; chưa có thông tin phê duyệt từ Chủ sở hữu, không có tiến triển thực chất so với kỳ 10/9/2026. K.QLKPP cần yêu cầu đầu mối báo cáo VPLĐ kết quả tác động với Chủ sở hữu, ngày dự kiến có phê duyệt và phương án bảo đảm công tác báo cáo NHNN không bị chậm trễ.</t>
  </si>
  <si>
    <t>Quá hạn 84 ngày; vẫn chưa có thông tin phê duyệt từ Chủ sở hữu; không có tiến triển thực chất so với kỳ trước.</t>
  </si>
  <si>
    <t>Chỉ đạo đã quá hạn 77 ngày; toàn bộ tài liệu đã trình Chủ sở hữu và P.QLKPP đã báo cáo Lãnh đạo để rút ngắn tiến độ, nhưng chưa có thông tin phê duyệt và P.Pháp Chế vẫn chờ kết quả để báo cáo Ngân hàng Nhà nước. K.QLKPP cần yêu cầu đầu mối trình Tờ trình cập nhật kết quả với Chủ sở hữu, báo cáo VPLĐ ngày có kết quả và phương án xử lý nếu chưa được phê duyệt trong tháng 9/2026.</t>
  </si>
  <si>
    <t>Quá hạn 77 ngày; toàn bộ tài liệu đã trình Chủ sở hữu; chưa có thông tin phê duyệt; P.Pháp Chế chưa nhận được kết quả để gửi báo cáo NHNN.</t>
  </si>
  <si>
    <t>Chỉ đạo đã quá hạn 37 ngày; vẫn chưa có bộ FAQ hoặc bảng ước tính thu nhập, dự kiến hoàn thành lùi sang Quý IV/2026, muộn hơn thời hạn 142 ngày. Khối Nhân sự cần báo cáo VPLĐ lý do điều chỉnh dự kiến, kế hoạch hoàn thành từng sản phẩm đầu ra và ngày trình phê duyệt.</t>
  </si>
  <si>
    <t>Quá hạn 37 ngày; chưa có bộ FAQ hoặc bảng ước tính thu nhập; dự kiến lùi sang Quý IV/2026, muộn hơn thời hạn 142 ngày; báo cáo không thay đổi giữa hai kỳ.</t>
  </si>
  <si>
    <t>Chỉ đạo đã quá hạn 30 ngày; công việc mới dừng ở nghiên cứu xây dựng dự thảo, chưa có bộ FAQ hoặc bảng ước tính thu nhập, đồng thời dự kiến hoàn thành muộn hơn thời hạn 50 ngày. Khối Nhân sự cần báo cáo VPLĐ kế hoạch hoàn thành dự thảo, phạm vi nội dung FAQ và phương thức thống nhất chính sách với ứng viên, kèm ngày trình phê duyệt.</t>
  </si>
  <si>
    <t>Quá hạn 30 ngày; mới nghiên cứu xây dựng dự thảo; chưa có bộ FAQ hoặc bảng ước tính thu nhập; dự kiến hoàn thành muộn hơn thời hạn 50 ngày.</t>
  </si>
  <si>
    <t>Còn 105 ngày đến hạn cuối năm 2026 nhưng báo cáo hai kỳ không thay đổi, chưa nêu kết quả cụ thể của cấu phần nào trong đề án. Khối QLKPP cần yêu cầu tổ triển khai báo cáo kết quả từng cấu phần, tiến độ thí điểm và lộ trình hoàn thành bảo đảm đạt mục tiêu trong Quý 3-4/2026.</t>
  </si>
  <si>
    <t>Còn 105 ngày; báo cáo không thay đổi so với kỳ 10/9/2026; chưa có kết quả cụ thể theo cấu phần của đề án.</t>
  </si>
  <si>
    <t>Còn 112 ngày đến hạn cuối năm 2026 nhưng báo cáo chỉ nêu triển khai theo lộ trình phê duyệt mà không nêu kết quả của bất kỳ cấu phần nào của đề án. Khối QLKPP cần yêu cầu tổ triển khai báo cáo VPLĐ trạng thái từng cấu phần (đào tạo Giám đốc ĐVKD, thí điểm dịch vụ, nâng cấp App, tích hợp bán chéo), mốc kiểm soát giữa kỳ và kết quả đạt được.</t>
  </si>
  <si>
    <t>Còn 112 ngày; chỉ nêu triển khai theo lộ trình phê duyệt; chưa nêu kết quả từng cấu phần hoặc mốc kiểm soát giữa kỳ; báo cáo không thay đổi giữa hai kỳ.</t>
  </si>
  <si>
    <t>Chỉ đạo đã quá hạn 2 ngày nhưng báo cáo không thay đổi so với kỳ trước, mới dừng ở khảo sát các công ty dịch vụ, chưa xác nhận hồ sơ của từng thành viên hay nộp hồ sơ visa. Văn phòng cần yêu cầu đơn vị thực hiện báo cáo VPLĐ kết quả lựa chọn đơn vị, danh mục hồ sơ đã hoàn tất và ngày nộp cho từng thị trường.</t>
  </si>
  <si>
    <t>Quá hạn 2 ngày; mới khảo sát các công ty dịch vụ; chưa có hồ sơ được xác nhận đã nộp; không có tiến triển so với kỳ 10/9/2026.</t>
  </si>
  <si>
    <t>Chỉ đạo không giao thời hạn; đề xuất ý tưởng đã được trình và ghi nhận đang thực hiện đúng tiến độ, nhưng chưa có phương án chi tiết trình phê duyệt. K.QLKPP cần yêu cầu đơn vị thực hiện hoàn thiện phương án chi tiết các giai đoạn, báo cáo VPLĐ lộ trình triển khai và thời hạn cho từng giai đoạn.</t>
  </si>
  <si>
    <t>Không giao thời hạn; ý tưởng đã được trình và đánh dấu đang thực hiện đúng tiến độ; chưa có phương án chi tiết hoặc thời hạn triển khai.</t>
  </si>
  <si>
    <t>Chỉ đạo không giao thời hạn; báo cáo mới dừng ở đề xuất ý tưởng trình PTGĐ duyệt thuận, chưa có phương án chi tiết cho mở rộng chuỗi và không gian dành riêng cho khách hàng theo đạo Hồi. K.QLKPP cần yêu cầu đơn vị thực hiện hoàn thiện phương án chi tiết, trình phê duyệt kèm thời hạn triển khai từng giai đoạn.</t>
  </si>
  <si>
    <t>Không giao thời hạn; đã đề xuất ý tưởng (thị trường mẫu Úc, combo Vikkafe - kiều hối - NHS VikkiBank, Cultural Experience Zone) chờ PTGĐ; chưa có phương án chi tiết.</t>
  </si>
  <si>
    <t>Chỉ đạo đã quá hạn 69 ngày; dự thảo hoàn thành ngày 17/9/2026 nhưng vẫn đang Ban lãnh đạo NHBL xem xét, chưa trình Phó Tổng Giám đốc phụ trách theo yêu cầu. Ban Điều hành cần yêu cầu NHBL báo cáo ngày trình duyệt và kế hoạch ban hành văn bản, bảo đảm không trượt tiếp mốc dự kiến 30/9/2026.</t>
  </si>
  <si>
    <t>Quá hạn 69 ngày; dự thảo hoàn thành ngày 17/9/2026 vẫn đang Ban lãnh đạo NHBL xem xét; dự kiến 30/9/2026 muộn hơn thời hạn 82 ngày.</t>
  </si>
  <si>
    <t>Chỉ đạo đã quá hạn 62 ngày; dự thảo quy trình mới hoàn thành và đang Ban lãnh đạo NHBL xem xét, chưa hoàn tất trình phê duyệt theo chuỗi chỉ đạo. Ban Điều hành cần yêu cầu NHBL báo cáo ngày trình Phó Tổng Giám đốc phụ trách, kế hoạch ban hành văn bản quy định mô hình Booth và giải pháp hỗ trợ nhân sự trực điểm bán.</t>
  </si>
  <si>
    <t>Quá hạn 62 ngày; dự thảo đang Ban lãnh đạo NHBL xem xét; dự kiến hoàn thành 30/9/2026 muộn hơn thời hạn 82 ngày.</t>
  </si>
  <si>
    <t>Chỉ đạo không giao thời hạn; bảng dự toán điểm hòa vốn đã gửi từ 10/8/2026 nhưng chưa thấy bộ chỉ tiêu được ban hành cho 25 điểm mở mới. Khối TCKH cần báo cáo VPLĐ kế hoạch giao chỉ tiêu theo từng đợt khai trương, tiêu chí hòa vốn năm thứ hai và lịch phối hợp với NHBL.</t>
  </si>
  <si>
    <t>Không giao thời hạn; dự toán đã gửi ngày 10/8/2026 nhưng chưa có bộ chỉ tiêu ban hành; báo cáo không thay đổi giữa hai kỳ.</t>
  </si>
  <si>
    <t>Chỉ đạo không giao thời hạn; thủ tục mở 25 điểm đã được NHNN phê duyệt và bảng dự toán điểm hòa vốn đã gửi Khối QLKPP&amp;TN ngày 10/8/2026, nhưng chưa có bộ chỉ tiêu kinh doanh giao cho từng điểm mới. Khối TCKH cần phối hợp NHBL ban hành bộ chỉ tiêu cho từng điểm, bảo đảm đạt hòa vốn chậm nhất năm hoạt động thứ hai, và báo cáo VPLĐ lộ trình giao chỉ tiêu sau khi điểm khai trương.</t>
  </si>
  <si>
    <t>Không giao thời hạn; 25 điểm mở mới đã được NHNN phê duyệt; bảng dự toán điểm hòa vốn đã gửi ngày 10/8/2026; chưa có bộ chỉ tiêu kinh doanh cho từng điểm; báo cáo không thay đổi giữa hai kỳ.</t>
  </si>
  <si>
    <t>Còn 13 ngày đến hạn Quý 3/2026 nhưng báo cáo hai kỳ không thay đổi, vẫn chỉ nêu mức sẽ phối hợp với NHBL. Công ty Kiều hối cần báo cáo VPLĐ các hạng mục đã chuẩn bị, kế hoạch phối hợp với NHBL và ngày hoàn thành; nếu không hoàn thành trước hạn, trình phương án điều chỉnh để Ban Điều hành xem xét.</t>
  </si>
  <si>
    <t>Còn 13 ngày; vẫn chỉ nêu sẽ phối hợp với NHBL; chưa có kết quả cụ thể; không thay đổi giữa hai kỳ.</t>
  </si>
  <si>
    <t>Còn 20 ngày đến hạn Quý 3/2026 nhưng báo cáo chỉ nêu mức sẽ phối hợp với NHBL, chưa có hạng mục công việc hoặc kết quả nào của DAMC. Công ty Kiều hối cần báo cáo VPLĐ phạm vi phối hợp cụ thể (tài khoản đa tiền tệ, hạn mức dựa trên dòng tiền kiều hối, sản phẩm giữ chân dòng vốn), đầu ra và ngày hoàn thành trước ngày 30/9/2026.</t>
  </si>
  <si>
    <t>Còn 20 ngày; mới nêu sẽ phối hợp với NHBL; chưa có hạng mục công việc hoặc kết quả cụ thể; báo cáo không thay đổi giữa hai kỳ.</t>
  </si>
  <si>
    <t>Chỉ đạo đã quá hạn 79 ngày; vẫn chỉ có trao đổi email giữa hai bộ phận Nhân sự, không có tiến triển thực chất so với kỳ 10/9/2026. Khối Nhân sự cần báo cáo VPLĐ kế hoạch ban hành văn bản luân chuyển, phạm vi tiếp nhận giao dịch viên và ngày hoàn thành cụ thể.</t>
  </si>
  <si>
    <t>Quá hạn 79 ngày; vẫn dừng ở trao đổi email; không có tiến triển thực chất so với kỳ trước; chưa có văn bản quy định hoặc thời hạn.</t>
  </si>
  <si>
    <t>Chỉ đạo đã quá hạn 72 ngày nhưng kết quả mới dừng ở trao đổi email giữa hai bộ phận Nhân sự về nhu cầu, nguồn lực và phương án điều phối, chưa có văn bản quy định luân chuyển nhân sự. Khối Nhân sự cần xác định mốc hoàn thành quy trình, phân công trách nhiệm hai bên và báo cáo VPLĐ phương án tiếp nhận giao dịch viên có kinh nghiệm theo ưu tiên.</t>
  </si>
  <si>
    <t>Quá hạn 72 ngày; mới có trao đổi email và đang phối hợp; chưa có văn bản quy định luân chuyển nhân sự hoặc thời hạn hoàn thành.</t>
  </si>
  <si>
    <t>Chỉ đạo không giao thời hạn; báo cáo hai kỳ không thay đổi, chưa có kế hoạch chi tiết cho giai đoạn chuẩn bị tháng 10/2026. Phòng MKT&amp;PR cần trình kế hoạch truyền thông cụ thể, kết quả thiết kế thương hiệu và lộ trình phối hợp với các đơn vị liên quan kèm thời hạn.</t>
  </si>
  <si>
    <t>Không giao thời hạn; báo cáo không thay đổi so với kỳ 10/9/2026; chưa có kế hoạch chi tiết cho giai đoạn tháng 10/2026.</t>
  </si>
  <si>
    <t>Chỉ đạo không giao thời hạn; báo cáo nêu đang triển khai cùng QLKPP và Kiều hối Đông Á để chuẩn bị cho tháng 10/2026, đồng thời đã thiết kế thương hiệu Vikki Duty Free và Vikki Lounge, nhưng chưa có kế hoạch chi tiết. Phòng MKT&amp;PR cần báo cáo VPLĐ kế hoạch truyền thông theo giai đoạn, phân công phối hợp và thời gian hoàn thành từng hạng mục.</t>
  </si>
  <si>
    <t>Không giao thời hạn; đang triển khai cùng QLKPP và Kiều hối Đông Á cho mục tiêu tháng 10/2026; đã có thiết kế thương hiệu Vikki Duty Free, Vikki Lounge; chưa có kế hoạch chi tiết; báo cáo không thay đổi giữa hai kỳ.</t>
  </si>
  <si>
    <t>Còn 23 ngày đến hạn trước 10/10/2026 nhưng báo cáo chỉ nêu mức nhận chỉ đạo và triển khai, không có kết quả cụ thể của hạng mục nào. NHBL cần báo cáo VPLĐ tiến độ khôi phục vận hành, kế hoạch Hub y tế, bác sĩ gia đình và thành lập Ban chăm sóc sức khỏe, kèm mốc hoàn thành từng hạng mục.</t>
  </si>
  <si>
    <t>Còn 23 ngày; báo cáo chỉ nêu mức nhận chỉ đạo và triển khai; chưa có kết quả hoặc mốc của từng hạng mục.</t>
  </si>
  <si>
    <t>Còn 30 ngày đến hạn trước 10/10/2026 nhưng báo cáo mới nêu mức đang triển khai kế hoạch, chưa nêu kết quả khôi phục vận hành hệ thống Y tế số, kế hoạch Hub y tế hoặc thành lập Ban chăm sóc sức khỏe nội bộ. NHBL cần báo cáo VPLĐ tiến độ từng hạng mục, kế hoạch tích hợp gói bảo hiểm liên kết và ngày hoàn thành theo dự kiến 10/10/2026.</t>
  </si>
  <si>
    <t>Còn 30 ngày; mới nêu đang triển khai kế hoạch; chưa có kết quả khôi phục hệ thống, kế hoạch Hub y tế hoặc Ban chăm sóc sức khỏe nội bộ.</t>
  </si>
  <si>
    <t>Chỉ đạo đã quá hạn 90 ngày; vẫn dừng ở mức phối hợp chỉnh sửa chương trình tính FTP, không có tiến triển thực chất so với kỳ 10/9/2026. Ban Điều hành cần yêu cầu K.TCKH và Trung tâm Công nghệ báo cáo tiến độ xử lý từng lỗi, ngày hoàn thành và phương án kiểm thử trước khi đưa vào sử dụng.</t>
  </si>
  <si>
    <t>Quá hạn 90 ngày; vẫn dừng ở mức phối hợp chỉnh sửa; không có tiến triển thực chất so với kỳ trước; chưa có ngày hoàn thành.</t>
  </si>
  <si>
    <t>Chỉ đạo đã quá hạn 83 ngày nhưng kết quả mới dừng ở mức ALM và Trung tâm Công nghệ đang phối hợp chỉnh sửa chương trình tính FTP, chưa có lỗi được khắc phục hoặc ngày hoàn thành. Ban Điều hành cần yêu cầu K.TCKH cùng Trung tâm Công nghệ xác định danh mục lỗi, phân công xử lý dứt điểm và báo cáo ngày hoàn thành cụ thể.</t>
  </si>
  <si>
    <t>Quá hạn 83 ngày; mới nêu đang phối hợp chỉnh sửa; chưa có lỗi FTP được khắc phục hoặc ngày hoàn thành; báo cáo không thay đổi giữa hai kỳ.</t>
  </si>
  <si>
    <t>Còn 13 ngày đến hạn trước 30/9/2026 nhưng kỳ báo cáo 17/9/2026 không có nội dung tiến độ; kỳ trước tính năng đang triển khai theo squad và dự kiến bàn giao UAT ngày 10/10/2026, muộn hơn thời hạn. Trung tâm Công nghệ cần báo cáo VPLĐ tiến độ thử nghiệm, ngày bàn giao UAT thực tế và phương án tích hợp chuyển đổi với Core T24.</t>
  </si>
  <si>
    <t>Còn 13 ngày; kỳ báo cáo 17/9/2026 không có nội dung tiến độ; kỳ trước dự kiến bàn giao UAT 10/10/2026, muộn hơn thời hạn 10 ngày.</t>
  </si>
  <si>
    <t>Dòng dữ liệu này trùng nội dung với dòng cùng kỳ của chỉ đạo (STT 36, nguồn NHBL r53); việc gộp hoặc loại bỏ dòng thuộc thẩm quyền rà soát của người quản lý bảng theo dõi.</t>
  </si>
  <si>
    <t>Nội dung báo cáo ghi chú trùng với dòng 36 cùng kỳ; đề xuất loại bỏ xuất phát từ đơn vị cung cấp, chưa có quyết định của người quản lý bảng theo dõi.</t>
  </si>
  <si>
    <t>Chỉ đạo không giao thời hạn; báo cáo hai kỳ không thay đổi, chưa có cơ chế bán chéo hoặc chương trình đào tạo được phê duyệt. NHBL cần báo cáo VPLĐ kết quả trình duyệt các sản phẩm đang chờ (VikkiSafe Plus, bảo hiểm thẻ tín dụng, bảo hiểm An tâm giao dịch), kế hoạch đào tạo và lộ trình áp dụng cơ chế bán chéo kèm thời hạn.</t>
  </si>
  <si>
    <t>Không giao thời hạn; các sản phẩm đang trình và đang xây dựng không thay đổi; chưa có cơ chế bán chéo hoặc chương trình đào tạo; báo cáo không thay đổi giữa hai kỳ.</t>
  </si>
  <si>
    <t>Chỉ đạo không giao thời hạn; báo cáo liệt kê các dòng sản phẩm đang triển khai, đang trình và đang xây dựng nhưng chưa có cơ chế bán chéo, quy trình cải tiến hoặc chương trình đào tạo cho đơn vị kinh doanh. NHBL cần xác lập kế hoạch bán chéo bảo hiểm gắn với sản phẩm tín dụng, trình cơ chế và chương trình đào tạo kèm thời hạn; tuân thủ quy định cấm gắn bán bảo hiểm không bắt buộc với cung ứng dịch vụ ngân hàng theo Khoản 5 Điều 15 Luật các TCTD.</t>
  </si>
  <si>
    <t>Không giao thời hạn; mới có danh mục sản phẩm đang triển khai, đang trình và đang xây dựng; chưa có cơ chế bán chéo hoặc chương trình đào tạo; báo cáo không thay đổi giữa hai kỳ.</t>
  </si>
  <si>
    <t>Chỉ đạo đã quá hạn 2 ngày mà chưa có phương án di dời địa điểm làm việc về Marina; báo cáo không thay đổi so với kỳ trước. Văn phòng cần khẩn trương trình phương án di dời, lịch thực hiện từng giai đoạn và ngày báo cáo Ban Điều hành.</t>
  </si>
  <si>
    <t>Quá hạn 2 ngày; chưa có phương án di dời; báo cáo không thay đổi giữa hai kỳ.</t>
  </si>
  <si>
    <t>Còn 5 ngày đến hạn trước 15/9/2026 nhưng báo cáo chỉ nêu mức nhận chỉ đạo và thực hiện, chưa có phương án di dời địa điểm làm việc về Marina. Văn phòng cần trình phương án di dời kèm lịch thực hiện, phân công và yêu cầu nguồn lực trước hạn.</t>
  </si>
  <si>
    <t>Còn 5 ngày; mới nêu mức nhận chỉ đạo; chưa có phương án di dời về Marina.</t>
  </si>
  <si>
    <t>Được đánh dấu hoàn thành nhưng báo cáo chỉ nêu mức phối hợp khi có yêu cầu từ đơn vị nghiệp vụ, chưa có kết quả thử nghiệm tính năng mở tài khoản ngoại tệ nhận kiều hối hay phương án tích hợp với Core T24. Trung tâm Công nghệ cần báo cáo VPLĐ tiến độ từng hạng mục, kế hoạch đưa vào vận hành không phụ thuộc Core T24 và ngày hoàn thành trước hạn 30/9/2026.</t>
  </si>
  <si>
    <t>Còn 20 ngày; đánh dấu hoàn thành nhưng chưa có bằng chứng thử nghiệm hoặc vận hành; chỉ nêu mức phối hợp khi được các đơn vị nghiệp vụ đề xuất.</t>
  </si>
  <si>
    <t>Chỉ đạo không giao thời hạn; báo cáo hai kỳ không thay đổi, chưa có lộ trình bảo đảm toàn bộ cấp quản lý đạt chuẩn MBA theo yêu cầu. K.QLKPP cần yêu cầu Bộ phận Đào tạo báo cáo kế hoạch bổ túc còn lại, tiêu chí hoàn thành Khóa 1 và tiến độ Khóa 2 kèm thời hạn.</t>
  </si>
  <si>
    <t>Không giao thời hạn; trạng thái hai khóa không thay đổi giữa hai kỳ; chưa có lộ trình đạt chuẩn MBA cho toàn bộ cấp quản lý.</t>
  </si>
  <si>
    <t>Chỉ đạo không giao thời hạn cho việc đạt chuẩn MBA ở các cấp quản lý; báo cáo cho thấy hai khóa mini MBA đang triển khai nhưng chưa có tiêu chí hoàn thành hoặc lộ trình bao phủ toàn bộ đối tượng. K.QLKPP cần xác lập tiêu chí đạt chuẩn mini MBA, kế hoạch bổ túc cho học viên chưa hoàn thành thời lượng Khóa 1 và danh sách đối tượng chưa tham gia, kèm thời hạn hoàn thành.</t>
  </si>
  <si>
    <t>Không giao thời hạn; Khóa 1 (40 học viên) đang xếp lịch bổ sung cho học viên chưa hoàn thành thời lượng; Khóa 2 (103 học viên) đã khai giảng 05/9/2026; chưa có lộ trình đạt chuẩn cho toàn bộ cấp quản lý; báo cáo không thay đổi giữa hai kỳ.</t>
  </si>
  <si>
    <t>Chưa thấy kết quả trình Chủ sở hữu phê duyệt thiết kế; XDCB đã lập lịch chi tiết các hạng mục từ 17/9 đến 05/10/2026 nhưng phần trình phê duyệt thiết kế không có thời hạn cụ thể. Khối QLKPP cần yêu cầu PTML/XDCB báo cáo ngày trình Chủ sở hữu, kết quả phê duyệt và kế hoạch bảo đảm hoàn thành nội thất đến 05/10/2026.</t>
  </si>
  <si>
    <t>Chưa có kết quả trình Chủ sở hữu được ghi nhận; XDCB đã lập lịch các hạng mục từ 17/9 đến 05/10/2026 (khung giàn hoa, bồn cây, camera, chống thấm, đèn, nội thất tầng trệt và sân thượng).</t>
  </si>
  <si>
    <t>Mốc dự kiến tháng 8/2026 đã qua nhưng thiết kế 72 Lý Thường Kiệt vẫn đang trình phê duyệt đến Văn phòng đại diện, chưa thấy kết quả trình Chủ sở hữu xem xét theo yêu cầu. Khối QLKPP cần yêu cầu XDCB/PTML báo cáo ngày trình Chủ sở hữu, kết quả phê duyệt và kế hoạch thi công sau phê duyệt để đưa trụ sở vào khai thác.</t>
  </si>
  <si>
    <t>Mốc dự kiến tháng 8/2026 đã qua; thiết kế nội thất đang trình đến Văn phòng đại diện; các hạng mục cải tạo song song dự kiến hoàn thành từ 14/9 đến 30/9/2026.</t>
  </si>
  <si>
    <t>Hồ sơ đã trình P.TGD phụ trách từ ngày 10/9/2026 nhưng chưa thấy kết quả trình ký và ngày ban hành quy trình; báo cáo không thay đổi so với kỳ trước. Khối QLKPP cần yêu cầu PTML báo cáo tiến độ trình ký từng phòng ban, kết quả ý kiến Ban lãnh đạo và ngày ban hành.</t>
  </si>
  <si>
    <t>Hồ sơ trình P.TGD ngày 10/9/2026; chưa có kết quả trình ký hoặc ngày ban hành; báo cáo không thay đổi so với kỳ 10/9/2026.</t>
  </si>
  <si>
    <t>Mốc dự kiến tháng 8/2026 đã qua nhưng quy trình mới trình đến Phó Tổng Giám đốc phụ trách ngày 10/9/2026, chưa có kết quả trình ký các phòng ban và Ban lãnh đạo. Khối QLKPP cần yêu cầu PTML theo dõi kết quả trình ký, hoàn tất các góp ý còn lại và xác định ngày ban hành quy trình.</t>
  </si>
  <si>
    <t>Mốc dự kiến tháng 8/2026 đã qua; hồ sơ đã trình P.TGD phụ trách ngày 10/9/2026 sau khi hoàn tất góp ý của Ban pháp chế và QLCL; chưa có kết quả trình ký hoặc ngày ban hành; báo cáo không thay đổi giữa hai kỳ.</t>
  </si>
  <si>
    <t>Được đánh dấu hoàn thành nhưng nội dung báo cáo cho thấy kế hoạch đang trình Ban lãnh đạo, và thông tin Chủ sở hữu đã duyệt chưa kèm văn bản phê duyệt hoặc ngày hiệu lực. K.TCKH cần cung cấp văn bản phê duyệt của Chủ sở hữu, ngày hiệu lực kế hoạch ngân sách 2026 và phương án sử dụng làm cơ sở công tác mua sắm.</t>
  </si>
  <si>
    <t>Quá hạn 21 ngày; kế hoạch đang trình Ban lãnh đạo; thông tin Chủ sở hữu đã duyệt chưa kèm văn bản phê duyệt hoặc ngày hiệu lực.</t>
  </si>
  <si>
    <t>Chỉ đạo đã quá hạn 7 ngày; báo cáo không thay đổi so với kỳ trước, chưa có phương án quản lý quà tặng hoặc thủ tục xét duyệt được trình. Phòng MKT&amp;PR cần khẩn trương trình phương án, xác định thời gian hoàn tất và kết quả phối hợp với HCQT &amp; MSTT.</t>
  </si>
  <si>
    <t>Quá hạn 7 ngày; chưa có phương án quản lý quà tặng; báo cáo không thay đổi giữa hai kỳ.</t>
  </si>
  <si>
    <t>Đến hạn ngày 10/9/2026 nhưng báo cáo chỉ nêu mức nhận chỉ đạo và phối hợp với HCQT &amp; MSTT, chưa có phương án duy trì mẫu quà tặng, sản phẩm mẫu tại Văn phòng hoặc thủ tục xét duyệt đơn giản hóa. Phòng MKT&amp;PR cần trình phương án quản lý quà tặng kèm phân công và thời gian hoàn tất.</t>
  </si>
  <si>
    <t>Đến hạn ngày 10/9/2026; mới nêu mức phối hợp; chưa có phương án quản lý quà tặng hoặc thủ tục xét duyệt đơn giản hóa.</t>
  </si>
  <si>
    <t>Chỉ đạo đã quá hạn 7 ngày; báo cáo không thay đổi so với kỳ trước, chưa có kết quả chuẩn hóa quy trình phát triển sản phẩm số. Phòng MKT&amp;PR cần báo cáo VPLĐ tiến độ hoàn thiện Designbook, Playbook và kế hoạch đào tạo Ban lãnh đạo kèm thời gian hoàn tất.</t>
  </si>
  <si>
    <t>Quá hạn 7 ngày; chưa có Designbook, Playbook hoặc quy trình chuẩn hóa; báo cáo không thay đổi giữa hai kỳ.</t>
  </si>
  <si>
    <t>Đến hạn ngày 10/9/2026 nhưng báo cáo chỉ nêu mức thống nhất thực hiện theo định hướng của NHBL, chưa có kết quả rà soát quy trình phát triển sản phẩm số, Designbook hoặc Playbook. Phòng MKT&amp;PR cần phối hợp Ban Tổng Giám đốc trình kết quả chuẩn hóa quy trình, kế hoạch hoàn thiện Designbook và Playbook cùng kế hoạch đào tạo quy trình cho Ban lãnh đạo.</t>
  </si>
  <si>
    <t>Đến hạn ngày 10/9/2026; mới nêu mức thống nhất theo định hướng NHBL; chưa có Designbook, Playbook hoặc quy trình chuẩn hóa.</t>
  </si>
  <si>
    <t>Chỉ đạo đã quá hạn 17 ngày; Playbook vẫn đang bổ sung theo góp ý, không có tiến triển thực chất so với kỳ 10/9/2026. Trung tâm Công nghệ cần báo cáo ngày hoàn thành Playbook, kết quả hai lần trình bày và kế hoạch vận hành đầy đủ quy trình với thẻ Vikki One Connect.</t>
  </si>
  <si>
    <t>Quá hạn 17 ngày; Playbook vẫn đang bổ sung; không có tiến triển thực chất so với kỳ trước; chưa hoàn tất vận hành quy trình.</t>
  </si>
  <si>
    <t>Chỉ đạo đã quá hạn 10 ngày; đã trình bày rollout hai lần nhưng Playbook vẫn đang được bổ sung theo góp ý, chưa hoàn tất vận hành lại quy trình phát triển và ra mắt sản phẩm với thẻ Vikki One Connect. Trung tâm Công nghệ cần báo cáo ngày hoàn thành Playbook, kế hoạch vận hành quy trình và ngày hoàn tất đưa thẻ vào chương trình.</t>
  </si>
  <si>
    <t>Quá hạn 10 ngày; Playbook đang được bổ sung theo góp ý sau hai lần trình bày ngày 15/8 và 22/8/2026; chưa hoàn tất vận hành quy trình phát triển và ra mắt sản phẩm.</t>
  </si>
  <si>
    <t>Quyết định thành lập Tổ triển khai Siêu thị Tài chính số 4211/2026/QĐ-TGĐ được ban hành ngày 3/9/2026, muộn hơn thời hạn 26/8/2026 tám ngày, và đề án chi tiết chưa được trình phê duyệt theo nhiệm vụ giao. Văn phòng cần yêu cầu Tổ công tác xác định ngày trình đề án chi tiết và cập nhật tiến độ cho VPLĐ.</t>
  </si>
  <si>
    <t>Quá hạn 15 ngày; quyết định 4211/2026/QĐ-TGĐ ban hành ngày 3/9/2026, muộn hơn thời hạn; đề án chi tiết chưa trình phê duyệt.</t>
  </si>
  <si>
    <t>Chỉ đạo đã quá hạn 79 ngày; chưa có kết quả từ Phòng Nhân sự sau hai lần đề xuất, dự kiến hoàn thành lùi muộn hơn thời hạn 92 ngày, không có tiến triển thực chất so với kỳ trước. Ban Điều hành cần yêu cầu Khối QLKPP và Phòng Nhân sự báo cáo lý do chậm trễ, kế hoạch trình duyệt cơ chế và ngày ban hành.</t>
  </si>
  <si>
    <t>Quá hạn 79 ngày; chưa có phản hồi từ Phòng Nhân sự; dự kiến lùi muộn hơn thời hạn 92 ngày; không có tiến triển thực chất so với kỳ trước.</t>
  </si>
  <si>
    <t>Chỉ đạo đã quá hạn 72 ngày; P.QLKPP đã hai lần đề xuất cơ chế chế tài với Phòng Nhân sự (email 05/8 và 26/8/2026) nhưng chưa có phản hồi hoặc kết quả ban hành. Ban Điều hành cần yêu cầu Khối Nhân sự xác nhận tiếp nhận đề xuất, trình phê duyệt cơ chế gắn lương kinh doanh với chất lượng dịch vụ và xác định ngày ban hành.</t>
  </si>
  <si>
    <t>Quá hạn 72 ngày; đã hai lần đề xuất cơ chế với Phòng Nhân sự (05/8 và 26/8/2026); chưa có phản hồi hoặc kết quả ban hành; dự kiến muộn hơn thời hạn 62 ngày.</t>
  </si>
  <si>
    <t>Còn 105 ngày đến hạn cuối năm 2026 nhưng báo cáo hai kỳ không thay đổi, chưa có kết quả cụ thể sau cuộc họp kickoff ngày 07/9/2026. NHBL cần yêu cầu tổ công tác báo cáo tiến độ từng cấu phần và lộ trình hoàn thành bảo đảm mục tiêu Quý 3/2026 của đề án.</t>
  </si>
  <si>
    <t>Còn 105 ngày; chưa có kết quả cụ thể sau họp kickoff; báo cáo không thay đổi so với kỳ 10/9/2026.</t>
  </si>
  <si>
    <t>Còn 112 ngày đến hạn cuối năm 2026 nhưng báo cáo mới nêu mức phối hợp với K.QLKPP và cuộc họp kickoff tổ công tác ngày 07/9/2026, chưa có kết quả triển khai theo cấu phần đề án. NHBL cần báo cáo VPLĐ phần việc của NHBL trong tổ công tác, tiến độ từng cấu phần (App tổng tài sản, scoring, bán chéo, GalaxyPay, kiều hối) và mốc kiểm soát đến cuối năm.</t>
  </si>
  <si>
    <t>Còn 112 ngày; đã có họp kickoff tổ công tác ngày 07/9/2026; chưa có kết quả triển khai theo cấu phần của đề án; báo cáo không thay đổi giữa hai kỳ.</t>
  </si>
  <si>
    <t>Tiến độ tăng lên 149 điểm hoàn thành nhưng 30 điểm còn lại vẫn cần kế hoạch và thời gian cụ thể; báo cáo tổng thể theo yêu cầu chưa thấy được trình. Khối QLKPP cần yêu cầu XDCB trình báo cáo tổng thể tiến độ, danh mục điểm còn vướng mắc và thời hạn hoàn thành gửi Tổng Giám đốc.</t>
  </si>
  <si>
    <t>Hoàn thành 149 điểm trên tổng mục tiêu 176 điểm (KV HCM 98/101, miền Tây 23/44, miền Bắc 28/34); dự kiến hoàn thành trước 30/9/2026; chưa có báo cáo tổng thể gửi Tổng Giám đốc.</t>
  </si>
  <si>
    <t>Tiến độ thi công cây xanh có chuyển động với 83 điểm hoàn thành, nhưng chưa thấy báo cáo tổng thể tiến độ và thời hạn gửi Tổng Giám đốc theo yêu cầu của chỉ đạo. Khối QLKPP cần yêu cầu XDCB tổng hợp kế hoạch và thời gian triển khai các điểm đại trà, trình báo cáo tổng thể gửi Tổng Giám đốc xem xét, chỉ đạo.</t>
  </si>
  <si>
    <t>Hoàn thành 83 điểm trên tổng 183 điểm đang triển khai (KV HCM 49/102, miền Tây 10/46, miền Bắc 24/35); dự kiến hoàn thành 176 điểm trước 30/9/2026; chưa có báo cáo tổng thể gửi Tổng Giám đốc.</t>
  </si>
  <si>
    <t>Được đánh dấu hoàn thành nhưng báo cáo chỉ nêu mức đưa vào hoạt động thường xuyên, chưa có kịch bản kinh doanh hoặc chương trình cụ thể cho kỳ nghỉ lễ dài kế tiếp. Ban Điều hành cần yêu cầu NHBL cung cấp kịch bản kinh doanh, hoạt động huy động vốn online duy trì liên tục và cơ chế báo cáo kết quả sau kỳ nghỉ.</t>
  </si>
  <si>
    <t>Quá hạn 12 ngày; đánh dấu hoàn thành nhưng chưa có kịch bản kinh doanh cho kỳ nghỉ lễ dài kế tiếp; chỉ nêu mức đưa vào hoạt động thường xuyên.</t>
  </si>
  <si>
    <t>Chỉ đạo đã quá hạn 7 ngày; báo cáo không thay đổi so với kỳ trước, chưa có phương án quản lý quà tặng, hàng mẫu. Văn phòng cần khẩn trương trình phương án, lịch thực hiện và kết quả phối hợp với Phòng HCQT&amp;QLCL cho Ban Điều hành.</t>
  </si>
  <si>
    <t>Đến hạn ngày 10/9/2026 nhưng báo cáo chỉ nêu mức đã trao đổi và thống nhất phối hợp với Phòng HCQT&amp;QLCL, chưa có phương án quản lý quà tặng, hàng mẫu hoặc thủ tục xét duyệt đơn giản hóa. Văn phòng cần trình phương án cụ thể kèm phân công, thời gian hoàn tất để bảo đảm Lãnh đạo có thể kiểm tra hoặc sử dụng ngay khi cần.</t>
  </si>
  <si>
    <t>Đến hạn ngày 10/9/2026; mới thống nhất phối hợp với Phòng HCQT&amp;QLCL; chưa có phương án quản lý quà tặng hoặc thủ tục xét duyệt.</t>
  </si>
  <si>
    <t>Chỉ đạo đã quá hạn 1 ngày và kỳ báo cáo 17/9/2026 không có nội dung tiến độ nào, chưa có bộ tài liệu tái thiết kế hoặc kết quả phê duyệt nội bộ. Trung tâm Công nghệ cần khẩn trương báo cáo VPLĐ tiến độ tái thiết kế bộ tài liệu bán hàng và thư ngỏ, ngày trình phê duyệt nội bộ trước khi chào bán thị trường.</t>
  </si>
  <si>
    <t>Quá hạn 1 ngày; kỳ báo cáo 17/9/2026 không có nội dung tiến độ; chưa có bộ tài liệu tái thiết kế hoặc kết quả phê duyệt nội bộ.</t>
  </si>
  <si>
    <t>Báo cáo chỉ dẫn theo dõi nội dung tại sheet DAMC mà không nêu phần việc riêng của K.QLKPP trong cơ chế phối hợp với đầu mối triển khai. K.QLKPP cần xác định vai trò của đơn vị trong hoạt động mở tài khoản đa tiền tệ và KYC kích hoạt, báo cáo VPLĐ các đầu việc của Khối kèm thời hạn.</t>
  </si>
  <si>
    <t>Không giao thời hạn; báo cáo chỉ dẫn theo dõi sheet DAMC đầu mối triển khai; chưa nêu phần việc riêng của K.QLKPP.</t>
  </si>
  <si>
    <t>Kế hoạch kinh doanh vẫn đang trình Phó Tổng Giám đốc xem xét, không có tiến triển thực chất so với kỳ 10/9/2026 và chưa có ngày trình Tổng Giám đốc phê duyệt. Văn phòng Tổng Giám đốc cần yêu cầu DAMC báo cáo kết quả trình duyệt và ngày trình Tổng Giám đốc cụ thể.</t>
  </si>
  <si>
    <t>Không giao thời hạn; kế hoạch vẫn chờ PTGĐ xem xét; chưa có ngày trình TGĐ; không có tiến triển thực chất so với kỳ trước.</t>
  </si>
  <si>
    <t>Kế hoạch kinh doanh 2026 số 05/2026/KH-KHDA-KD đã hoàn tất ngày 3/8/2026 và GĐ NHBL đã đồng ý nội dung, nhưng đến kỳ báo cáo vẫn đang chờ Phó Tổng Giám đốc xem xét trước khi trình Tổng Giám đốc phê duyệt. Văn phòng Tổng Giám đốc cần theo dõi kết quả trình duyệt, yêu cầu DAMC xác nhận ngày trình Tổng Giám đốc theo thời hạn đã cam kết.</t>
  </si>
  <si>
    <t>Không giao thời hạn; kế hoạch kinh doanh số 05/2026/KH-KHDA-KD hoàn tất ngày 3/8/2026, GĐ NHBL đồng ý; đang trình PTGĐ xem xét; chưa có ngày trình TGĐ phê duyệt; báo cáo không thay đổi giữa hai kỳ.</t>
  </si>
  <si>
    <t>Tiến độ cải thiện với 22 điểm đang thi công nhưng 3 điểm còn chờ chủ nhà bàn giao mặt bằng và danh mục vướng mắc theo yêu cầu chưa được tổng hợp. K.QLKPP cần yêu cầu XDCB báo cáo kế hoạch hoàn thành trước 31/12/2026, tình trạng 3 điểm chờ bàn giao và phương án xử lý vướng mắc.</t>
  </si>
  <si>
    <t>Còn 105 ngày; 22/25 điểm đang thi công; 3 điểm chờ chủ nhà bàn giao mặt bằng; dự kiến hoàn thành trước 30/12/2026; chưa có tổng hợp nguyên nhân vướng mắc.</t>
  </si>
  <si>
    <t>Tiến độ có chuyển động với 19 điểm đang thi công nhưng 6 điểm mới dừng ở khảo sát và thiết kế sơ bộ; chưa thấy tổng hợp nguyên nhân các điểm vướng mắc theo yêu cầu. K.QLKPP cần yêu cầu XDCB xác nhận kế hoạch hoàn thành 25 điểm trước 31/12/2026 và trình danh mục điểm có vướng mắc kèm phương án xử lý đồng bộ.</t>
  </si>
  <si>
    <t>Còn 112 ngày; 19/25 điểm đã nhận mặt bằng và đang thi công; 6 điểm đang khảo sát, thiết kế sơ bộ; dự kiến hoàn thành trước 30/12/2026; chưa có tổng hợp vướng mắc.</t>
  </si>
  <si>
    <t>Còn 13 ngày đến hạn trước 30/9/2026 nhưng báo cáo hai kỳ không thay đổi, vẫn chỉ nêu mức phối hợp theo tiến độ Vikki Bank. Công ty Kiều hối cần báo cáo VPLĐ kết quả chuẩn bị, kế hoạch phối hợp với các đơn vị công nghệ và ngày hoàn thành trước hạn.</t>
  </si>
  <si>
    <t>Còn 13 ngày; vẫn chỉ nêu phối hợp theo tiến độ Vikki Bank; chưa có kết quả cụ thể; không thay đổi giữa hai kỳ.</t>
  </si>
  <si>
    <t>Còn 20 ngày đến hạn trước 30/9/2026 nhưng DAMC chỉ nêu mức phối hợp theo tiến độ của Vikki Bank, chưa nêu hạng mục cụ thể hoặc kết quả chuẩn bị. Công ty Kiều hối cần báo cáo VPLĐ phần việc của DAMC trong tính năng mở tài khoản ngoại tệ nhận kiều hối, dữ liệu và điều kiện đã chuẩn bị, ngày hoàn thành trước hạn.</t>
  </si>
  <si>
    <t>Còn 20 ngày; mới nêu phối hợp theo tiến độ Vikki Bank; chưa nêu hạng mục cụ thể hoặc kết quả; báo cáo không thay đổi giữa hai kỳ.</t>
  </si>
  <si>
    <t>Chỉ đạo không giao thời hạn; báo cáo hai kỳ không thay đổi, chưa có giải pháp triển khai được đề xuất. NHBL cần báo cáo VPLĐ tiến độ xây dựng giải pháp, kết quả phối hợp với DAMC và thời gian trình phê duyệt.</t>
  </si>
  <si>
    <t>Không giao thời hạn; vẫn chưa có giải pháp triển khai; DAMC vẫn chờ NHBL; không có tiến triển giữa hai kỳ.</t>
  </si>
  <si>
    <t>Chỉ đạo không giao thời hạn; DAMC đang chờ NHBL đề xuất giải pháp triển khai, chưa có phân công hoặc lịch phối hợp cụ thể giữa hai bên. NHBL cần đề xuất giải pháp triển khai cơ chế mở tài khoản đa tiền tệ khi nhận kiều hối, thống nhất với DAMC về KYC và kích hoạt tài khoản ngay, báo cáo VPLĐ lộ trình kèm thời hạn.</t>
  </si>
  <si>
    <t>Không giao thời hạn; DAMC đang chờ NHBL đề xuất giải pháp triển khai; chưa có phân công hoặc lịch phối hợp cụ thể; báo cáo không thay đổi giữa hai kỳ.</t>
  </si>
  <si>
    <t>Chỉ đạo đã quá hạn 16 ngày; thủ tục tại BPMS vẫn chưa hoàn tất và chưa có kế hoạch khám cụ thể, không có tiến triển thực chất so với kỳ 10/9/2026. K.QLKPP cần yêu cầu BPMS báo cáo ngày hoàn tất trình duyệt nhà cung cấp, kế hoạch triển khai khám và phương án khám sức khỏe đầu vào cho nhân sự mới.</t>
  </si>
  <si>
    <t>Quá hạn 16 ngày; BPMS vẫn đang trình nhà cung cấp; không có tiến triển thực chất so với kỳ trước; chưa có kế hoạch khám hoặc thông báo triển khai.</t>
  </si>
  <si>
    <t>Chỉ đạo đã quá hạn 9 ngày; khám độc hại lần 1 đã triển khai và chủ trương khám định kỳ đã chuyển BPMS từ tháng 5/2026, nhưng đến kỳ báo cáo BPMS HDBank vẫn đang trình nhà cung cấp, chưa có kế hoạch khám hoặc thông báo triển khai. K.QLKPP cần yêu cầu BPMS báo cáo ngày hoàn tất thủ tục và kế hoạch khám; đồng thời làm rõ phương án khám đầu vào cho nhân sự mới.</t>
  </si>
  <si>
    <t>Quá hạn 9 ngày; chủ trương đã chuyển BPMS từ tháng 5/2026; BPMS HDBank đang trình nhà cung cấp; chưa có kế hoạch khám hoặc thông báo triển khai; báo cáo không thay đổi giữa hai kỳ.</t>
  </si>
  <si>
    <t>Còn 13 ngày đến hạn Quý 3/2026 nhưng báo cáo hai kỳ không thay đổi, chưa có kết quả rà soát năng lực PAIC và phương án giải pháp thanh toán. Trung tâm Công nghệ cần yêu cầu Galaxy Holding và Trung tâm Thẻ báo cáo kết quả nghiên cứu, ngày trình phê duyệt trước hạn.</t>
  </si>
  <si>
    <t>Còn 13 ngày; chưa có kết quả rà soát PAIC; giải pháp thanh toán vẫn chờ Galaxy Holding; không thay đổi giữa hai kỳ.</t>
  </si>
  <si>
    <t>Còn 20 ngày đến hạn Quý 3/2026 nhưng đầu ra mới dừng ở định hướng thẻ tương tự Thẻ Petrolimex 4in1 và chuyển nghiên cứu giải pháp thanh toán cho Galaxy Holding, chưa có kết quả rà soát năng lực PAIC. Trung tâm Công nghệ và Trung tâm Thẻ cần báo cáo VPLĐ kết quả rà soát PAIC, phương án giải pháp thanh toán tổng thể và ngày trình phê duyệt trước ngày 30/9/2026.</t>
  </si>
  <si>
    <t>Còn 20 ngày; mới có định hướng thẻ và chính sách cấp tín dụng cho khách hàng tổ chức; giải pháp thanh toán chuyển Galaxy Holding nghiên cứu; chưa có kết quả rà soát PAIC; báo cáo không thay đổi giữa hai kỳ.</t>
  </si>
  <si>
    <t>Chỉ đạo không giao thời hạn; báo cáo hai kỳ không thay đổi, vẫn dừng ở mức phối hợp với FinX và DAM. NHBL cần báo cáo tiến độ phương án mở tài khoản đa tiền tệ, quy trình KYC và thời gian trình Ban Điều hành xem xét.</t>
  </si>
  <si>
    <t>Không giao thời hạn; vẫn dừng ở mức phối hợp; không có phương án hoặc kết quả mới; không thay đổi giữa hai kỳ.</t>
  </si>
  <si>
    <t>Chỉ đạo không giao thời hạn; báo cáo chỉ nêu mức NHBL đang phối hợp với FinX và DAM, chưa có phương án mở tài khoản đa tiền tệ, quy trình KYC kích hoạt hoặc kết quả nào được ghi nhận. Ban Điều hành cần yêu cầu NHBL báo cáo phương án triển khai, phân công các bên và thời gian trình phê duyệt.</t>
  </si>
  <si>
    <t>Không giao thời hạn; mới nêu mức phối hợp giữa NHBL, FinX và DAM; chưa có phương án mở tài khoản đa tiền tệ hoặc quy trình KYC kích hoạt; báo cáo không thay đổi giữa hai kỳ.</t>
  </si>
  <si>
    <t>Chỉ đạo không giao thời hạn; báo cáo hai kỳ không thay đổi, chưa thấy kết quả xử lý pháp lý hoặc lộ trình đầu tư xây dựng công trình Hải Phòng. Khối QLKPP cần yêu cầu báo cáo danh mục vấn đề pháp lý, trạng thái xử lý từng nội dung và kế hoạch triển khai kèm thời hạn.</t>
  </si>
  <si>
    <t>Không giao thời hạn; vẫn dừng ở mức phối hợp xử lý pháp lý; không có kết quả mới; không thay đổi giữa hai kỳ.</t>
  </si>
  <si>
    <t>Chỉ đạo không giao thời hạn; đến kỳ báo cáo 10/9/2026 vẫn chỉ nêu mức đang phối hợp với Pháp chế và công ty luật xử lý các vấn đề pháp lý, chưa có kết quả hoặc lộ trình cụ thể cho dự án Incons. Khối QLKPP cần yêu cầu đầu mối báo cáo tình trạng pháp lý dự án, các vấn đề đang xử lý và thời hạn hoàn thành.</t>
  </si>
  <si>
    <t>Không giao thời hạn; mới nêu đang phối hợp xử lý các vấn đề pháp lý; chưa có kết quả hoặc lộ trình triển khai dự án; báo cáo không thay đổi giữa hai kỳ.</t>
  </si>
  <si>
    <t>Chỉ đạo đã quá hạn 17 ngày; vẫn chưa có kết quả phê duyệt từ Chủ sở hữu, không có tiến triển thực chất so với kỳ trước. Khối Nhân sự cần báo cáo kết quả đôn đốc, ngày dự kiến có phê duyệt và phương án bảo đảm áp dụng thang bảng lương mới theo dự kiến Quý III/2026.</t>
  </si>
  <si>
    <t>Quá hạn 17 ngày; vẫn chờ Chủ sở hữu phê duyệt; không có tiến triển thực chất so với kỳ trước; dự kiến muộn hơn thời hạn 30 ngày.</t>
  </si>
  <si>
    <t>Chỉ đạo đã quá hạn 10 ngày; dự thảo thang bảng lương mới đã trình và đang chờ Chủ sở hữu phê duyệt, chưa có kết quả và dự kiến muộn hơn thời hạn 30 ngày. Khối Nhân sự cần báo cáo VPLĐ kết quả đôn đốc Chủ sở hữu, ngày dự kiến có phê duyệt và kế hoạch áp dụng thang bảng lương mới.</t>
  </si>
  <si>
    <t>Quá hạn 10 ngày; dự thảo đã trình và chờ Chủ sở hữu phê duyệt; chưa có kết quả phê duyệt; dự kiến muộn hơn thời hạn 30 ngày; báo cáo không thay đổi giữa hai kỳ.</t>
  </si>
  <si>
    <t>Chỉ đạo không giao thời hạn; đến kỳ báo cáo 17/9/2026 NHBL vẫn chờ bảng tính toán của K.TCKH, không có tiến triển thực chất so với kỳ trước. Khối TCKH cần cung cấp bảng tính toán, thống nhất phương pháp với NHBL và báo cáo VPLĐ thời hạn hoàn thành đề xuất chỉ tiêu kinh doanh cho các điểm mở mới.</t>
  </si>
  <si>
    <t>Không giao thời hạn; NHBL vẫn chờ bảng tính toán của K.TCKH đến 17/9/2026; không có tiến triển thực chất so với kỳ trước.</t>
  </si>
  <si>
    <t>Chỉ đạo không giao thời hạn; NHBL chờ K.TCKH gửi bảng tính toán chi phí thành lập điểm giao dịch từ ngày 22/7/2026 đến kỳ báo cáo 10/9/2026 mà chưa nhận được kết quả. Khối TCKH cần khẩn trương cung cấp bảng tính toán, phối hợp NHBL thống nhất phương pháp xác định điểm hòa vốn và thời hạn hoàn thành đề xuất chỉ tiêu.</t>
  </si>
  <si>
    <t>Không giao thời hạn; NHBL chờ bảng tính toán của K.TCKH từ 22/7/2026; chưa nhận được kết quả; chưa thống nhất phương pháp xác định điểm hòa vốn.</t>
  </si>
  <si>
    <t>Chỉ đạo đã quá hạn 16 ngày; phương án bảo hiểm nhân thọ vẫn dừng ở mức nghiên cứu dự thảo, không có tiến triển thực chất so với kỳ 10/9/2026. Khối Nhân sự cần báo cáo ngày hoàn thành dự thảo, kế hoạch phối hợp với K.QLKPP về khám sức khỏe và lộ trình trình phê duyệt.</t>
  </si>
  <si>
    <t>Quá hạn 16 ngày; phương án bảo hiểm nhân thọ vẫn nghiên cứu dự thảo; không có tiến triển thực chất so với kỳ trước; dự kiến muộn hơn thời hạn 121 ngày.</t>
  </si>
  <si>
    <t>Chỉ đạo đã quá hạn 9 ngày; phần khám sức khỏe đã chuyển Khối QLKPP phụ trách nhưng phương án bảo hiểm nhân thọ cho CBNV mới dừng ở mức nghiên cứu xây dựng dự thảo, dự kiến muộn hơn thời hạn 121 ngày. Khối Nhân sự cần báo cáo VPLĐ kế hoạch xây dựng phương án, ranh giới phần việc với K.QLKPP và ngày trình phê duyệt.</t>
  </si>
  <si>
    <t>Quá hạn 9 ngày; phần khám sức khỏe đã chuyển K.QLKPP; phương án bảo hiểm nhân thọ mới nghiên cứu xây dựng dự thảo; dự kiến muộn hơn thời hạn 121 ngày; báo cáo không thay đổi giữa hai kỳ.</t>
  </si>
  <si>
    <t>Chỉ đạo đã quá hạn 62 ngày; dự thảo hoàn thành ngày 17/9/2026 vẫn đang Ban lãnh đạo NHBL xem xét, chưa có họp liên khối để thống nhất. Ban Điều hành cần yêu cầu NHBL báo cáo ngày trình duyệt và kế hoạch tổ chức họp liên khối, bảo đảm không trượt tiếp mốc dự kiến 30/9/2026.</t>
  </si>
  <si>
    <t>Quá hạn 62 ngày; dự thảo hoàn thành ngày 17/9/2026 đang Ban lãnh đạo NHBL xem xét; dự kiến 30/9/2026 muộn hơn thời hạn 75 ngày; chưa có họp liên khối.</t>
  </si>
  <si>
    <t>Chỉ đạo đã quá hạn 55 ngày; dự thảo đang Ban lãnh đạo NHBL xem xét, chưa tổ chức họp liên khối để thống nhất theo yêu cầu. Ban Điều hành cần yêu cầu NHBL báo cáo ngày trình duyệt, kế hoạch họp liên khối và các đầu ra gồm danh mục địa điểm, quy trình bán chéo sản phẩm tại Booth đa năng.</t>
  </si>
  <si>
    <t>Quá hạn 55 ngày; dự thảo đang Ban lãnh đạo NHBL xem xét; dự kiến 30/9/2026 muộn hơn thời hạn 75 ngày; chưa có danh mục địa điểm hoặc họp liên khối.</t>
  </si>
  <si>
    <t>Chỉ đạo không giao thời hạn; báo cáo hai kỳ không thay đổi, chưa có kết quả tuyển dụng nhân sự PR&amp;MKT. Phòng MKT&amp;PR cần báo cáo số lượng đã tuyển, số còn thiếu và tiến độ phối hợp với Phòng Nhân sự kèm thời hạn.</t>
  </si>
  <si>
    <t>Không giao thời hạn; chưa có kết quả tuyển dụng; báo cáo không thay đổi giữa hai kỳ.</t>
  </si>
  <si>
    <t>Chỉ đạo không giao thời hạn; báo cáo chỉ nêu mức phối hợp với Phòng Nhân sự để tuyển dụng nhân sự bổ sung, chưa có số lượng, vị trí hoặc kết quả tuyển dụng. Phòng MKT&amp;PR cần báo cáo VPLĐ nhu cầu nhân lực theo từng team, tiến độ tuyển dụng và kế hoạch ký hợp đồng trực tiếp.</t>
  </si>
  <si>
    <t>Không giao thời hạn; mới nêu mức phối hợp tuyển dụng nhân sự bổ sung cho các team ưu tiên; chưa có số lượng, vị trí hoặc kết quả; báo cáo không thay đổi giữa hai kỳ.</t>
  </si>
  <si>
    <t>Chỉ đạo không giao thời hạn; báo cáo hai kỳ không thay đổi, chưa có kết quả tuyển dụng hoặc chính sách đề xuất. Phòng Kinh doanh Tiền tệ cần báo cáo tiến độ bổ sung nhân sự, kế hoạch đề xuất chính sách và ảnh hưởng đến chỉ tiêu kinh doanh vốn năm 2026.</t>
  </si>
  <si>
    <t>Không giao thời hạn; vẫn đang tìm kiếm nhân sự; không có kết quả hoặc chính sách mới; không thay đổi giữa hai kỳ.</t>
  </si>
  <si>
    <t>Chỉ đạo không giao thời hạn; báo cáo chỉ nêu đang tìm kiếm nhân sự từ bên ngoài và ứng viên nội bộ, chưa có số lượng cần bổ sung, kết quả tuyển hoặc chính sách đã đề xuất. Phòng Kinh doanh Tiền tệ cần báo cáo VPLĐ nhu cầu nhân lực, tiến độ tuyển dụng và chính sách đề xuất bảo đảm chỉ tiêu kinh doanh vốn năm 2026.</t>
  </si>
  <si>
    <t>Không giao thời hạn; đang tìm kiếm nhân sự từ bên ngoài và ứng viên nội bộ; chưa có số lượng thiếu hụt hoặc chính sách đề xuất; báo cáo không thay đổi giữa hai kỳ.</t>
  </si>
  <si>
    <t>Chỉ đạo đã quá hạn 48 ngày; sau khi hoàn thiện masterfile công việc ngày 09/9/2026, đề án chưa được trình Ban Điều hành và không có nội dung mới so với kỳ trước. Khối QLKPP cần yêu cầu tổ công tác báo cáo ngày trình Ban Điều hành, kết quả xử lý góp ý và kế hoạch cuộc họp chuyên đề theo chỉ đạo.</t>
  </si>
  <si>
    <t>Quá hạn 48 ngày; masterfile hoàn thiện 09/9/2026; đề án chưa trình Ban Điều hành; không có nội dung mới so với kỳ 10/9/2026; dự kiến muộn hơn thời hạn 61 ngày.</t>
  </si>
  <si>
    <t>Chỉ đạo đã quá hạn 41 ngày nhưng có chuyển động thực chất: dự thảo Ver1 hoàn thiện 19/8, đã gửi góp ý các khối 25/8, thành lập Tổ công tác 03/9 và kickoff 07/9/2026; đề án chưa được trình Ban Điều hành theo yêu cầu. Khối QLKPP cần yêu cầu tổ công tác hoàn thiện dự thảo theo góp ý, xác định ngày trình Ban Điều hành và tổ chức cuộc họp chuyên đề sau khi hoàn thiện.</t>
  </si>
  <si>
    <t>Quá hạn 41 ngày; dự thảo Ver1 hoàn thiện 19/8, gửi góp ý các khối 25/8; Tổ công tác thành lập 03/9 và kickoff 07/9/2026; chưa trình Ban Điều hành; dự kiến muộn hơn thời hạn 61 ngày.</t>
  </si>
  <si>
    <t>Còn 44 ngày đến hạn 31/10/2026 nhưng kỳ báo cáo 17/9/2026 không có nội dung tiến độ; kỳ trước mới dừng ở mức phối hợp với K.QLKPP. NHBL cần khẩn trương báo cáo VPLĐ kế hoạch từng hạng mục, kết quả tự động hóa chi trả và kết nối đối tác quốc tế.</t>
  </si>
  <si>
    <t>Còn 44 ngày; kỳ báo cáo 17/9/2026 không có nội dung tiến độ; chưa có đầu ra về cử nhân sự, tự động hóa hoặc kết nối đối tác.</t>
  </si>
  <si>
    <t>Còn 51 ngày đến hạn 31/10/2026 nhưng báo cáo mới nêu mức NHBL đang phối hợp với K.QLKPP, chưa có kết quả các đầu ra gồm cử nhân sự tham gia đoàn công tác, tự động hóa quy trình chi trả và kết nối đối tác. NHBL cần báo cáo VPLĐ kế hoạch từng hạng mục và lộ trình hoàn thiện mạng lưới kiều hối quốc tế trong năm 2026.</t>
  </si>
  <si>
    <t>Còn 51 ngày; mới nêu mức phối hợp với K.QLKPP; chưa có kết quả cử nhân sự, tự động hóa chi trả hoặc kết nối đối tác; dự kiến tháng 9/2026 chưa có bằng chứng thực hiện.</t>
  </si>
  <si>
    <t>Được đánh dấu hoàn thành nhưng thực tế đang chờ Viện Victoria cập nhật khung chương trình đào tạo; chưa có kế hoạch lồng ghép đào tạo Core mới vào Next Leader, CEO Global và đào tạo lãnh đạo chi nhánh. Ban Điều hành cần yêu cầu Bộ phận Đào tạo xác lập kế hoạch triển khai cụ thể kèm thời hạn thay vì chờ kết quả từ Viện Victoria.</t>
  </si>
  <si>
    <t>Không giao thời hạn; đã gửi đề xuất sang Viện Victoria và chờ cập nhật khung chương trình; chưa có kế hoạch lồng ghép đào tạo Core mới; đánh dấu hoàn thành không có kế hoạch triển khai.</t>
  </si>
  <si>
    <t>Chỉ đạo không giao thời hạn; các đề xuất về hợp đồng lao động với CBNV chuyển tiền, trang bị máy MS360 và tạo tài khoản chờ cho tệp khách hàng DAM mới dừng ở mức đề xuất các phòng nghiên cứu, chưa có phương án được phê duyệt. Ban Điều hành cần yêu cầu NHBL tổng hợp kết quả phối hợp với P.NS, bộ phận Mua sắm, P.PTSP, FinX và TTCN, trình phương án chi tiết kèm timeline thực hiện.</t>
  </si>
  <si>
    <t>Không giao thời hạn; đề xuất về HĐLĐ, máy MS360 và tài khoản chờ cho tệp khách hàng DAM đang chờ nghiên cứu của các phòng liên quan; chưa có phương án được phê duyệt hoặc timeline.</t>
  </si>
  <si>
    <t>Còn 13 ngày đến hạn tháng 9/2026 nhưng kỳ báo cáo 17/9/2026 không có nội dung tiến độ; kỳ trước mới dừng ở mức phối hợp cùng MOVI. NHBL cần khẩn trương báo cáo VPLĐ kết quả phối hợp, phương án giải pháp và khả năng hoàn thành trước hạn 30/9/2026.</t>
  </si>
  <si>
    <t>Còn 13 ngày; kỳ báo cáo 17/9/2026 không có nội dung tiến độ; chưa có giải pháp hoặc kết quả tái khởi động hợp tác MOVI.</t>
  </si>
  <si>
    <t>Còn 20 ngày đến hạn tháng 9/2026 nhưng báo cáo mới nêu mức đang phối hợp cùng MOVI, chưa có giải pháp tính/trả lương, phúc lợi, phương pháp scoring hay kết quả tái khởi động hợp tác. NHBL cần báo cáo VPLĐ phương án từng hạng mục và khả năng hoàn thành trước ngày 30/9/2026.</t>
  </si>
  <si>
    <t>Còn 20 ngày; mới nêu mức phối hợp cùng MOVI; chưa có giải pháp tính/trả lương, scoring, cấp tín dụng hoặc bán chéo bảo hiểm.</t>
  </si>
  <si>
    <t>Chỉ đạo đã quá hạn 79 ngày; vẫn chỉ dừng ở mức phối hợp với Viện Victoria, không có tiến triển thực chất so với kỳ trước. K.QLKPP cần yêu cầu Bộ phận Đào tạo báo cáo kết quả phối hợp, kế hoạch chương trình và lộ trình áp dụng cho kế hoạch 6 tháng cuối năm 2026.</t>
  </si>
  <si>
    <t>Quá hạn 79 ngày; vẫn dừng ở mức phối hợp Viện Victoria; không có tiến triển thực chất so với kỳ trước; chưa có chương trình hoặc lịch triển khai.</t>
  </si>
  <si>
    <t>Chỉ đạo đã quá hạn 72 ngày nhưng kết quả mới dừng ở mức phối hợp với Viện Victoria để lên kế hoạch, chưa có chương trình đào tạo hoặc lịch triển khai cho kế hoạch 6 tháng cuối năm 2026. K.QLKPP cần yêu cầu Bộ phận Đào tạo xác định ngày hoàn thành kế hoạch và lộ trình áp dụng cho các Khối.</t>
  </si>
  <si>
    <t>Quá hạn 72 ngày; mới phối hợp Viện Victoria để lên kế hoạch; chưa có chương trình đào tạo hoặc lịch triển khai; báo cáo không thay đổi giữa hai kỳ.</t>
  </si>
  <si>
    <t>Tiến độ thi công đã xác lập nhưng chưa thấy báo cáo về tính phù hợp của lộ trình với thời hạn 6 tháng kể từ khi Nghị quyết có hiệu lực. Khối QLKPP cần yêu cầu PTML/XDCB cập nhật tiến độ thi công sau ngày 18/9/2026 và xác nhận khả năng hoàn thành 30/12/2026.</t>
  </si>
  <si>
    <t>Đã có GPXD ngày 05/8/2026, thi công từ 18/9/2026, dự kiến hoàn thành 30/12/2026; chưa có cập nhật tiến độ sau ngày bắt đầu thi công.</t>
  </si>
  <si>
    <t>Tiến độ đã xác lập với giấy phép xây dựng cấp ngày 05/8/2026 và thi công bắt đầu 18/9/2026, dự kiến hoàn thành 30/12/2026, nhưng chưa thấy phân tích tính phù hợp với thời hạn 6 tháng kể từ khi Nghị quyết có hiệu lực. Khối QLKPP cần yêu cầu PTML/XDCB báo cáo VPLĐ tiến độ thi công, kế hoạch hoàn thành và cơ sở bảo đảm đúng thời hạn theo Nghị quyết.</t>
  </si>
  <si>
    <t>Không giao thời hạn cụ thể trong bảng theo dõi; GPXD cấp 05/8/2026, thi công từ 18/9, dự kiến hoàn thành 30/12/2026; thời hạn theo Nghị quyết là 6 tháng kể từ khi có hiệu lực; báo cáo không thay đổi giữa hai kỳ.</t>
  </si>
  <si>
    <t>Được đánh dấu hoàn thành nhưng tuyển dụng vẫn đang tiến triển với 11 Trưởng đơn vị đã tuyển, 8 đang trình tuyển dụng và 8 ứng viên dự kiến phỏng vấn; chưa có thời hạn hoàn tất. Khối Nhân sự cần báo cáo VPLĐ tổng số lượng cần tuyển cho các ĐVKD mới, ngày hoàn tất và phương án bảo đảm nguồn nhân lực dự phòng trước khi mạng lưới đi vào hoạt động.</t>
  </si>
  <si>
    <t>Không giao thời hạn; đã tuyển 11 Trưởng đơn vị, 8 đang trình tuyển dụng, 8 ứng viên dự kiến phỏng vấn; đánh dấu hoàn thành nhưng tuyển dụng chưa hoàn tất.</t>
  </si>
  <si>
    <t>Chỉ đạo không giao thời hạn trong kỳ báo cáo; báo cáo chỉ nêu mức nhận chỉ đạo và triển khai, chưa có thiết kế sản phẩm cho vay học phí, gói bảo hiểm tích hợp hoặc phương án ân hạn nợ gốc tối đa 10 năm. NHBL cần báo cáo VPLĐ kế hoạch thiết kế sản phẩm theo hệ thống trường, tiến độ từng hạng mục và ngày trình phê duyệt theo dự kiến 30/11/2026.</t>
  </si>
  <si>
    <t>Không giao thời hạn; mới nêu mức nhận chỉ đạo và triển khai; chưa có thiết kế sản phẩm, gói bảo hiểm tích hợp hoặc phương án ân hạn nợ gốc; dự kiến hoàn thành 30/11/2026.</t>
  </si>
  <si>
    <t>Mục tiêu hoàn thành toàn bộ các điểm kinh doanh theo chuẩn nhận diện thương hiệu trước 31/5/2026 đã không đạt; mới hoàn thành 184/237 điểm và kế hoạch kéo dài đến năm 2027. Ban Điều hành cần báo cáo Chủ sở hữu nguyên nhân điều chỉnh lớn về tiến độ, quy trách nhiệm từng nhóm vướng mắc và xác lập kế hoạch kiểm soát riêng đối với 6 điểm kéo dài sang năm 2027.</t>
  </si>
  <si>
    <t>Quá hạn 102 ngày; mới hoàn thành 184/237 điểm; còn 53 điểm chưa hoàn tất; thời gian hoàn thành toàn bộ lùi từ 31/5/2026 sang năm 2027.</t>
  </si>
  <si>
    <t>Còn 3 ngày đến hạn trước 20/9/2026 nhưng cả bốn hạng mục (cung cấp logo, học liệu, đăng tải trang Bình dân học vụ số, xây dựng website Hub Giáo dục) chưa có nội dung kết quả nào trong kỳ báo cáo, chỉ ghi đang trình phê duyệt. NHBL cần khẩn trương báo cáo VPLĐ kết quả từng hạng mục, mốc hoàn thành và phương án bảo đảm đăng tải theo thời hạn được giao.</t>
  </si>
  <si>
    <t>Còn 3 ngày; bốn hạng mục chưa có nội dung kết quả; chỉ ghi đang trình phê duyệt; mốc đăng tải ngày 14/9/2026 đã qua.</t>
  </si>
  <si>
    <t>Chỉ đạo đã quá hạn 59 ngày; K.QTRR đã góp ý lần 1 ngày 16/9 và ĐTLK phản hồi ngày 17/9/2026 nhưng vòng trình ký chưa hoàn tất, chưa ký liên kết hợp tác. NHBL cần yêu cầu rút ngắn các vòng góp ý còn lại, xác định ngày ký liên kết và cập nhật dự kiến hoàn tất để không trượt tiếp so với hạn ban đầu.</t>
  </si>
  <si>
    <t>Quá hạn 59 ngày; K.QTRR góp ý lần 1 ngày 16/9, ĐTLK phản hồi ngày 17/9/2026; chưa ký liên kết hợp tác; dự kiến 21/9/2026 muộn hơn thời hạn 63 ngày.</t>
  </si>
  <si>
    <t>Chỉ đạo đã quá hạn 52 ngày; thủ tục hợp tác đang lần lượt trình ký các khối (GĐCC NHBL ngày 28/8, KTD và KQTRR ngày 4/9/2026) nhưng chưa hoàn tất và chưa ký liên kết hợp tác. NHBL cần yêu cầu các đơn vị liên quan rút ngắn vòng trình ký, xác định ngày ký liên kết và báo cáo VPLĐ lộ trình hoàn tất thủ tục.</t>
  </si>
  <si>
    <t>Quá hạn 52 ngày; chủ trương TGĐ đã trình ngày 23/7/2026; đang trình ký lãnh đạo KTD, KQTRR từ 4/9/2026; chưa ký liên kết hợp tác; dự kiến 21/9/2026 muộn hơn thời hạn 63 ngày.</t>
  </si>
  <si>
    <t>Chỉ đạo không giao thời hạn; báo cáo hai kỳ không thay đổi, chưa thấy kế hoạch đào tạo 2026 được trình Ban lãnh đạo. Bộ phận Đào tạo cần xác lập thời hạn hoàn thành góp ý của các Khối, kết quả thẩm định tài liệu và ngày trình Ban lãnh đạo xem xét.</t>
  </si>
  <si>
    <t>Không giao thời hạn; kế hoạch vẫn chờ góp ý của các Khối nghiệp vụ; không có tiến triển giữa hai kỳ; chưa có ngày trình Ban lãnh đạo.</t>
  </si>
  <si>
    <t>Chỉ đạo không giao thời hạn cho từng hạng mục; kế hoạch đào tạo 2026 đã hoàn thiện theo góp ý của Viện Victoria nhưng đang chờ góp ý của các Khối nghiệp vụ, quy định đào tạo đang rà soát ban hành mới và các bộ tài liệu chờ thẩm định lại. Bộ phận Đào tạo cần xác lập thời hạn hoàn thành từng hạng mục và ngày trình Ban lãnh đạo xem xét theo yêu cầu.</t>
  </si>
  <si>
    <t>Không giao thời hạn; kế hoạch đào tạo 2026 đang chờ góp ý của các Khối nghiệp vụ; quy định đào tạo đang rà soát ban hành mới; 8 bộ tài liệu năm 2025 chờ thẩm định lại; báo cáo không thay đổi giữa hai kỳ.</t>
  </si>
  <si>
    <t>Được đánh dấu hoàn thành nhưng báo cáo chỉ ghi 'Hoàn thành' mà không nêu quyết định thành lập, thành phần tổ công tác hoặc đề án chi tiết trình phê duyệt theo nhiệm vụ được giao. K.QLKPP cần cung cấp VPLĐ văn bản thành lập tổ, đề án chi tiết và ngày trình phê duyệt.</t>
  </si>
  <si>
    <t>Quá hạn 15 ngày; báo cáo chỉ ghi 'Hoàn thành'; chưa có quyết định thành lập tổ hoặc đề án chi tiết trình phê duyệt.</t>
  </si>
  <si>
    <t>Chỉ đạo theo kỳ kinh doanh tháng 9 và Quý 4/2026 nhưng báo cáo mới nêu chủ trương lãi suất theo kết luận cuộc họp ALCO ngày 16/9/2026, chưa có số liệu huy động thực tế so với mục tiêu trên 500 tỷ đồng/ngày. NHBL cần báo cáo VPLĐ số liệu huy động, hiệu quả chính sách lãi suất và kế hoạch chăm sóc khách hàng bảo đảm chỉ tiêu.</t>
  </si>
  <si>
    <t>Đã có kết luận ALCO ngày 16/9/2026: cho phép đề xuất tăng lãi suất 0,2-0,3% khi mức huy động dưới 350 tỷ đồng/ngày; chưa có số liệu huy động thực tế so với mục tiêu trên 500 tỷ đồng/ngày.</t>
  </si>
  <si>
    <t>Đến kỳ báo cáo 10/9/2026, dòng dữ liệu của thành viên Ban Tổng Giám đốc chưa có bất kỳ nội dung tiến độ nào về học tập, thực hành Quy trình phát triển sản phẩm và quy trình ra mắt sản phẩm. Ban Tổng Giám đốc cần xác định đầu mối thực hiện, phương án lồng ghép đào tạo Core mới vào các chương trình đào tạo hiện hành và thời gian hoàn thành.</t>
  </si>
  <si>
    <t>Không giao thời hạn; kỳ báo cáo 10/9/2026 không có nội dung tiến độ; chưa có phương án lồng ghép đào tạo Core mới vào các chương trình hiện hành.</t>
  </si>
  <si>
    <t>Chỉ đạo không giao thời hạn; báo cáo hai kỳ không thay đổi, vẫn dừng ở mức đối tác đồng ý định hướng hợp tác. K.QLKPP cần yêu cầu DAMC báo cáo tiến độ thống nhất điều kiện, thỏa thuận hợp tác và kế hoạch triển khai theo từng thị trường.</t>
  </si>
  <si>
    <t>Không giao thời hạn; vẫn dừng ở mức đồng ý định hướng; chưa có thỏa thuận cụ thể; không thay đổi giữa hai kỳ.</t>
  </si>
  <si>
    <t>Chỉ đạo không giao thời hạn; DAMC đã trao đổi và đối tác đồng ý về định hướng hợp tác cho mô hình Vikkafe trở thành đại lý chi trả kiều hối tại Nhật Bản, Úc và Pháp, nhưng chưa có kế hoạch triển khai hoặc điều kiện thỏa thuận cụ thể. K.QLKPP cần yêu cầu DAMC cùng đơn vị chủ trì xác lập kế hoạch triển khai, nội dung điều kiện và thỏa thuận hợp tác cần thống nhất.</t>
  </si>
  <si>
    <t>Không giao thời hạn; đối tác đã đồng ý định hướng hợp tác cho ba thị trường Nhật Bản, Úc, Pháp; triển khai phụ thuộc kế hoạch của Vikkafe; chưa có thỏa thuận cụ thể; báo cáo không thay đổi giữa hai kỳ.</t>
  </si>
  <si>
    <t>Được đánh dấu hoàn thành nhưng đã quá hạn 6 ngày mà chưa thấy văn bản kết quả rà soát hoặc danh mục chốt kiểm soát được trình phê duyệt. Ban Điều hành cần yêu cầu DAMC cung cấp kết quả rà soát, danh mục chốt kiểm soát và ngày ban hành để hoàn tất yêu cầu bảo đảm an toàn.</t>
  </si>
  <si>
    <t>Quá hạn 6 ngày; đánh dấu hoàn thành nhưng chưa có văn bản kết quả rà soát hoặc danh mục chốt kiểm soát; báo cáo không thay đổi giữa hai kỳ.</t>
  </si>
  <si>
    <t>Được đánh dấu hoàn thành khi còn 1 ngày đến hạn nhưng báo cáo chỉ có xác nhận đã rà soát, chưa kèm kết quả rà soát, danh mục chốt kiểm soát mới hoặc kết quả phê duyệt. Ban Điều hành cần yêu cầu DAMC nộp văn bản kết quả rà soát quy trình giao nhận và chi trả kiều hối tại nhà cùng danh mục chốt kiểm soát và ngày ban hành.</t>
  </si>
  <si>
    <t>Còn 1 ngày; đánh dấu hoàn thành nhưng chỉ có xác nhận đã rà soát; chưa có văn bản kết quả hoặc danh mục chốt kiểm soát.</t>
  </si>
  <si>
    <t>Chỉ đạo không giao thời hạn; báo cáo hai kỳ không thay đổi, chưa có số liệu kết quả để đánh giá hiệu quả sử dụng nguồn vốn nhàn rỗi. P.KDTT cần bổ sung số liệu sản lượng, hiệu suất sinh lời theo kỳ và phương pháp đánh giá cho Ban Điều hành.</t>
  </si>
  <si>
    <t>Không giao thời hạn; chưa có số liệu kết quả; báo cáo không thay đổi giữa hai kỳ.</t>
  </si>
  <si>
    <t>Chỉ đạo mang tính thường xuyên và không giao thời hạn; báo cáo nêu việc chủ động sử dụng các công cụ thị trường 2 nhưng chưa có số liệu kết quả tối ưu hóa (sản lượng, hiệu suất sinh lời) để đánh giá. P.KDTT cần báo cáo VPLĐ kết quả theo kỳ với số liệu cụ thể và phương pháp đánh giá hiệu quả sử dụng vốn nhàn rỗi.</t>
  </si>
  <si>
    <t>Không giao thời hạn; đang sử dụng các công cụ thị trường 2 gồm gửi tiền, hoán đổi ngoại tệ, đầu tư trái phiếu và chứng chỉ tiền gửi; chưa có số liệu kết quả hoặc phương pháp đánh giá hiệu quả; báo cáo không thay đổi giữa hai kỳ.</t>
  </si>
  <si>
    <t>Chỉ đạo có nguồn gốc từ đề xuất TTCN ngày 29/01/2026, đến kỳ báo cáo 17/9/2026 chưa có tiến triển thực chất so với kỳ trước, vẫn dừng ở mức FinX tiếp nhận phân tích. NHBL và K.QLKPP cần yêu cầu FinX xác định thời gian hoàn thành phân tích và lộ trình kết nối, báo cáo VPLĐ đầu mối cập nhật.</t>
  </si>
  <si>
    <t>Không giao thời hạn; vẫn dừng ở mức FinX tiếp nhận phân tích; không có tiến triển thực chất so với kỳ trước; chưa có lộ trình kết nối.</t>
  </si>
  <si>
    <t>Chỉ đạo có nguồn gốc từ đề xuất TTCN ngày 29/01/2026 và đến kỳ báo cáo 10/9/2026 vẫn dừng ở mức trao đổi nghiệp vụ, chưa có kết quả kết nối phần mềm HDS với tài khoản VikkiMe. NHBL và K.QLKPP cần yêu cầu FinX báo cáo kết quả phân tích, xác định thời gian triển khai và phân công đầu mối cập nhật tiến độ.</t>
  </si>
  <si>
    <t>Không giao thời hạn; đề xuất TTCN ngày 29/01/2026; vẫn trao đổi nghiệp vụ và mô tả các nội dung nghiệp vụ cho FinX; chưa có kết quả kết nối; báo cáo không thay đổi giữa hai kỳ.</t>
  </si>
  <si>
    <t>Còn 13 ngày đến hạn trước 30/9/2026 nhưng việc thống nhất danh sách nhân sự phía Vikki Bank vẫn chưa hoàn tất, báo cáo hai kỳ không thay đổi. Văn phòng Tổng Giám đốc cần yêu cầu hoàn thiện tờ trình ngay và báo cáo ngày trình Tổng Giám đốc phê duyệt; nếu không kịp hạn, trình phương án điều chỉnh để xem xét.</t>
  </si>
  <si>
    <t>Còn 13 ngày; vẫn chờ Vikki Bank thống nhất danh sách nhân sự; chưa có ngày trình Tổng Giám đốc phê duyệt; không thay đổi giữa hai kỳ.</t>
  </si>
  <si>
    <t>Còn 20 ngày đến hạn trước 30/9/2026 nhưng tờ trình thành lập Ban chuyên trách Kiều hối đang chờ Vikki Bank thống nhất danh sách nhân sự để hoàn thiện và trình Tổng Giám đốc HDBank - Vikki Bank phê duyệt. Văn phòng Tổng Giám đốc cần thống nhất danh sách nhân sự phía Vikki Bank, hoàn tất tờ trình và xác định ngày trình phê duyệt trước hạn.</t>
  </si>
  <si>
    <t>Còn 20 ngày; HDBank và DAM đã hoàn tất dự thảo tờ trình và danh sách nhân sự của mình; đang chờ Vikki Bank thống nhất danh sách nhân sự; chưa có ngày trình Tổng Giám đốc phê duyệt; báo cáo không thay đổi giữa hai kỳ.</t>
  </si>
  <si>
    <t>Chỉ đạo không giao thời hạn; quy định vẫn đang chờ phê duyệt của Hội đồng thành viên và Chủ sở hữu, báo cáo không thay đổi so với kỳ trước. K.TCKH cần yêu cầu bộ phận liên quan báo cáo kết quả trình HĐTV và CSH, ngày dự kiến ban hành để hoàn tất điều chỉnh chế độ công tác phí.</t>
  </si>
  <si>
    <t>Không giao thời hạn; quy định vẫn đang trình HĐTV và CSH; chưa có kết quả phê duyệt; không thay đổi giữa hai kỳ.</t>
  </si>
  <si>
    <t>Chỉ đạo không giao thời hạn; quy định đã hoàn thành và trình ký ban hành nhưng đang chờ Hội đồng thành viên và Chủ sở hữu phê duyệt vì liên quan chính sách cho Chủ tịch, thành viên HĐTV và Ban kiểm soát. K.TCKH cần báo cáo VPLĐ tiến độ trình duyệt, ngày dự kiến có kết quả và kế hoạch ban hành sau phê duyệt.</t>
  </si>
  <si>
    <t>Không giao thời hạn; P.KTTC đã trình ký ban hành; đang trình HĐTV và CSH do có nội dung chính sách cho Chủ tịch, thành viên HĐTV và Ban kiểm soát; chưa có kết quả phê duyệt; báo cáo không thay đổi giữa hai kỳ.</t>
  </si>
  <si>
    <t>Chỉ đạo đã quá hạn 90 ngày; quy định mới vẫn chưa được phê duyệt và không có tiến triển thực chất so với kỳ 10/9/2026. K.TCKH cần yêu cầu bộ phận liên quan báo cáo kết quả trình duyệt, nguyên nhân chậm trễ và ngày ban hành cụ thể.</t>
  </si>
  <si>
    <t>Quá hạn 90 ngày; vẫn đang trình HĐTV và CSH; không có tiến triển thực chất so với kỳ trước; chưa có ngày ban hành.</t>
  </si>
  <si>
    <t>Chỉ đạo đã quá hạn 83 ngày nhưng quy định mới về công tác phí và chi tiêu nội bộ vẫn đang trình Hội đồng thành viên và Chủ sở hữu phê duyệt, chưa ban hành. K.TCKH cần báo cáo VPLĐ kết quả trình HĐTV và CSH, ngày dự kiến ban hành và kế hoạch áp dụng mức chi phí theo thị trường và tương đương HDBank.</t>
  </si>
  <si>
    <t>Quá hạn 83 ngày; quy định mới vẫn đang trình HĐTV và CSH; chưa ban hành; báo cáo không thay đổi giữa hai kỳ.</t>
  </si>
  <si>
    <t>Hạng mục ngoài nhà tăng lên 79% nhưng mốc hoàn thành lùi từ 15/9/2026 sang 25/9/2026 và chưa được xác lập làm thời hạn chính thức. Khối QLKPP cần yêu cầu PTML/XDCB báo cáo nguyên nhân lùi mốc, kế hoạch hoàn thành khu vực ngoài nhà và phương án nghiệm thu công trình.</t>
  </si>
  <si>
    <t>Không giao thời hạn; khu vực ngoài nhà đạt 79%; mốc hoàn thành lùi từ 15/9/2026 sang 25/9/2026; chưa xác lập thời hạn chính thức trong bảng theo dõi.</t>
  </si>
  <si>
    <t>Công trình có tiến triển nhưng hạng mục ngoài nhà mới đạt 70% và mốc hoàn thành 15/9/2026 chưa được ghi nhận làm thời hạn chính thức. Khối QLKPP cần yêu cầu PTML/XDCB xác lập thời hạn hoàn thành khu vực ngoài nhà, cập nhật tiến độ và phương án nghiệm thu sau khi hoàn tất.</t>
  </si>
  <si>
    <t>Không giao thời hạn; khu giao dịch và văn phòng đã bàn giao sử dụng; khu vực ngoài nhà đạt 70%; mốc hoàn thành 15/9/2026 chưa được ghi nhận làm thời hạn chính thức.</t>
  </si>
  <si>
    <t>Chỉ đạo đã quá hạn 64 ngày; Khung liên kết đã trình điều chỉnh lần 2 ngày 14/9/2026 nhưng vẫn đang sửa đổi theo hướng dẫn GĐCC NHBL, chưa ban hành. NHBL cần yêu cầu chốt phiên bản khung, trình Ban lãnh đạo phê duyệt và xác định ngày ban hành trước hạn dự kiến tháng 9/2026.</t>
  </si>
  <si>
    <t>Quá hạn 64 ngày; Khung liên kết trình điều chỉnh lần 2 ngày 14/9/2026 vẫn đang sửa đổi theo hướng dẫn; chưa ban hành; dự kiến muộn hơn thời hạn 77 ngày.</t>
  </si>
  <si>
    <t>Chỉ đạo đã quá hạn 57 ngày; các cuộc họp xử lý vướng mắc đã tổ chức nhưng Khung liên kết đối tác mới ở giai đoạn trình GĐCC NHBL điều chỉnh, chưa ban hành. NHBL cần yêu cầu hoàn thiện khung theo hướng dẫn, xác định ngày trình Ban lãnh đạo phê duyệt và ngày ban hành quy định/khung liên kết đối tác.</t>
  </si>
  <si>
    <t>Quá hạn 57 ngày; Khung liên kết đang trình GĐCC NHBL, đã điều chỉnh theo hướng dẫn ngày 27/8 và trình lại ngày 10/9; chưa ban hành; dự kiến muộn hơn thời hạn 77 ngày.</t>
  </si>
  <si>
    <t>Chỉ đạo không giao thời hạn; báo cáo chỉ nêu mức nhận chỉ đạo và triển khai, chưa có kế hoạch thiết kế sản phẩm cho vay học phí, gói bảo hiểm tích hợp hoặc phương án ân hạn nợ gốc tối đa 10 năm. NHBL cần báo cáo VPLĐ kế hoạch thiết kế sản phẩm, tiến độ từng hạng mục và ngày trình phê duyệt theo dự kiến 30/11/2026.</t>
  </si>
  <si>
    <t>Không giao thời hạn; mới nêu mức nhận chỉ đạo và triển khai; chưa có kế hoạch thiết kế sản phẩm hoặc phương án ân hạn nợ gốc; dự kiến hoàn thành 30/11/2026.</t>
  </si>
  <si>
    <t>Còn 13 ngày đến hạn Quý 3/2026 nhưng báo cáo hai kỳ không thay đổi, việc phê duyệt hội đồng tín dụng vẫn đang chờ Tổng Giám đốc và chưa có kết quả. Trung tâm Thẻ cần báo cáo VPLĐ kết quả trình duyệt, ngày cấp thẻ và tiến độ hạng mục số 39 bảo đảm hoàn thành trước hạn.</t>
  </si>
  <si>
    <t>Còn 13 ngày; vẫn chờ TGĐ phê duyệt cuối về nhân sự hội đồng; chưa có kết quả; báo cáo không thay đổi giữa hai kỳ.</t>
  </si>
  <si>
    <t>Còn 20 ngày đến hạn Quý 3/2026 nhưng việc cấp thẻ tín dụng hạn mức phê duyệt trước vẫn chờ Tổng Giám đốc phê duyệt nhân sự Hội đồng, và phần mở tài khoản ngoại tệ cùng sản phẩm đầu tư được ghi nhận thuộc hạng mục số 39 của dự án Kiều hối, chưa thấy kết quả. Trung tâm Thẻ cần báo cáo VPLĐ kết quả trình Tổng Giám đốc, kế hoạch cấp thẻ và tiến độ hạng mục số 39 trước ngày 30/9/2026.</t>
  </si>
  <si>
    <t>Còn 20 ngày; tờ trình nhân sự Hội đồng phê duyệt tín dụng đang chờ TGĐ phê duyệt cuối; đã gửi mẫu thẻ demo thống nhất với DAM; phần mở tài khoản ngoại tệ và sản phẩm đầu tư thuộc hạng mục số 39 dự án Kiều hối; báo cáo không thay đổi giữa hai kỳ.</t>
  </si>
  <si>
    <t>Chỉ đạo đã quá hạn 2 ngày và kỳ báo cáo 17/9/2026 không có nội dung tiến độ, chưa có thiết kế chuẩn hóa Thẻ Giáo dục hoặc phương án bảo vệ dữ liệu cá nhân. Trung tâm Công nghệ cần khẩn trương báo cáo VPLĐ tiến độ chuẩn hóa thiết kế, phương án loại bỏ thông tin cá nhân chi tiết và ngày trình phê duyệt nội bộ.</t>
  </si>
  <si>
    <t>Quá hạn 2 ngày; kỳ báo cáo 17/9/2026 không có nội dung tiến độ; chưa có thiết kế chuẩn hóa hoặc phương án bảo vệ dữ liệu cá nhân.</t>
  </si>
  <si>
    <t>Chỉ đạo không giao thời hạn; báo cáo hai kỳ không thay đổi, chưa thấy phản hồi của Satra về điều chỉnh đối tượng áp dụng. NHBL cần yêu cầu Trung tâm Thẻ cập nhật kết quả làm việc với Satra, xác định ngày chốt đối tượng và lịch triển khai giai đoạn 1 cho hệ thống Metro.</t>
  </si>
  <si>
    <t>Không giao thời hạn; vẫn chờ phản hồi của Satra; không có tiến triển giữa hai kỳ; chưa có lịch triển khai giai đoạn 1.</t>
  </si>
  <si>
    <t>Chỉ đạo không giao thời hạn; các bước chuẩn bị đã hoàn thành gồm NDA, MOU, hợp đồng hợp tác, thiết kế mẫu thẻ và kế hoạch triển khai ba giai đoạn, nhưng ngày 22/8/2026 đề xuất điều chỉnh đối tượng áp dụng vẫn đang chờ Satra phản hồi. NHBL cần yêu cầu Trung tâm Thẻ theo đuổi phản hồi của Satra, xác định ngày chốt đối tượng áp dụng và lịch triển khai giai đoạn 1.</t>
  </si>
  <si>
    <t>Không giao thời hạn; NDA, MOU, hợp đồng, thiết kế thẻ và kế hoạch ba giai đoạn đã thống nhất; ngày 22/8/2026 đề xuất điều chỉnh đối tượng áp dụng, đang chờ Satra phản hồi; chưa triển khai giai đoạn 1; báo cáo không thay đổi giữa hai kỳ.</t>
  </si>
  <si>
    <t>Chỉ đạo không giao thời hạn; báo cáo hai kỳ không thay đổi, các điểm ATM còn lại vẫn chưa được xác thực vị trí. Phòng PTML và MKT&amp;PR cần yêu cầu Trung tâm Công nghệ cung cấp vị trí chính xác, xác lập thời hạn hoàn tất và cập nhật tiến độ các điểm chuyển đổi địa điểm.</t>
  </si>
  <si>
    <t>Không giao thời hạn; trạng thái cập nhật không thay đổi giữa hai kỳ; chưa có thời hạn hoàn tất xác thực vị trí ATM.</t>
  </si>
  <si>
    <t>Chỉ đạo không giao thời hạn cho việc cập nhật toàn bộ; 212 CN/PGD và 184 ATM đã cập nhật lên Google Maps nhưng các điểm ATM còn lại vẫn chờ Trung tâm Công nghệ xác nhận vị trí chính xác để xác thực. Phòng PTML phối hợp MKT&amp;PR cần xác lập thời hạn TTT cung cấp vị trí và hoàn tất xác thực, đồng thời cập nhật các điểm chuyển đổi địa điểm trong năm 2026.</t>
  </si>
  <si>
    <t>Không giao thời hạn; đã cập nhật 212 CN/PGD và 184 ATM lên Google Maps cùng thông tin trên website; các điểm ATM còn lại chờ TTT xác nhận vị trí; chưa có thời hạn hoàn tất xác thực; báo cáo không thay đổi giữa hai kỳ.</t>
  </si>
  <si>
    <t>Còn 44 ngày đến hạn 31/10/2026 nhưng báo cáo hai kỳ không thay đổi, chưa có phương án sơ bộ về công ty mục tiêu tại Nhật Bản được trình. DAMC cần yêu cầu đầu mối báo cáo tiến độ thu thập thông tin, ngày trình phương án và kế hoạch tự động hóa quy trình chi trả theo định hướng Ban Chuyên trách.</t>
  </si>
  <si>
    <t>Còn 44 ngày; vẫn đang thu thập thông tin công ty mục tiêu tại Nhật Bản; chưa có phương án sơ bộ; báo cáo không thay đổi giữa hai kỳ.</t>
  </si>
  <si>
    <t>Còn 51 ngày đến hạn 31/10/2026 nhưng các hạng mục mới ở giai đoạn chuẩn bị: cử Tổng Giám đốc tham gia đoàn công tác, phối hợp triển khai tự động hóa và thu thập thông tin công ty mục tiêu tại Nhật Bản; chưa có phương án sơ bộ được trình. DAMC cần báo cáo VPLĐ kế hoạch từng hạng mục, ngày trình phương án về công ty mục tiêu và lộ trình hoàn thiện mạng lưới kiều hối quốc tế trong năm 2026.</t>
  </si>
  <si>
    <t>Còn 51 ngày; đã cử Tổng Giám đốc tham gia đoàn công tác nước ngoài; đã ký NDA và đang thu thập thông tin công ty mục tiêu tại Nhật Bản; chưa có phương án sơ bộ; báo cáo không thay đổi giữa hai kỳ.</t>
  </si>
  <si>
    <t>Chỉ đạo đã quá hạn 33 ngày; vẫn chưa thấy kế hoạch rà soát theo đề nghị của Chủ sở hữu và không có tiến triển thực chất so với kỳ trước. K.TCKH cần yêu cầu bộ phận liên quan xác lập kế hoạch rà soát, ngày trình đồng thời hai bên và báo cáo tiến độ cho Ban Điều hành.</t>
  </si>
  <si>
    <t>Quá hạn 33 ngày; chưa thấy kế hoạch rà soát hoặc ngày trình; không có tiến triển thực chất so với kỳ trước.</t>
  </si>
  <si>
    <t>Chỉ đạo đã quá hạn 26 ngày; Chủ sở hữu đã đề nghị rà soát theo phương án của HDBank và trình đồng thời hai bên, nhưng chưa thấy kế hoạch rà soát hoặc ngày trình. K.TCKH cần báo cáo VPLĐ kế hoạch rà soát, phạm vi đối chiếu với quy định HDBank và ngày trình phê duyệt.</t>
  </si>
  <si>
    <t>Quá hạn 26 ngày; Chủ sở hữu đã nêu đề xuất rà soát theo phương án HDBank và trình đồng thời hai bên; chưa có kế hoạch rà soát và chưa xác định ngày trình; báo cáo không thay đổi giữa hai kỳ.</t>
  </si>
  <si>
    <t>Chỉ đạo đã quá hạn 17 ngày; mốc hoàn thành điều chỉnh từ 20/9 sang 21/9/2026 và thông báo vẫn chưa được phát hành. K.TCKH cần báo cáo VPLĐ nguyên nhân điều chỉnh mốc, ngày phát hành thông báo và kế hoạch phối hợp các khối trong tháng 9/2026.</t>
  </si>
  <si>
    <t>Quá hạn 17 ngày; mốc hoàn thành điều chỉnh từ 20/9 sang 21/9/2026; thông báo chưa phát hành; chưa có thời hạn mới được xác lập.</t>
  </si>
  <si>
    <t>Chỉ đạo đã quá hạn 10 ngày; thông báo xây dựng kế hoạch kinh doanh và ngân sách năm 2027 vẫn đang dự thảo, dự kiến hoàn thành 20/9/2026 muộn hơn hạn. K.TCKH cần báo cáo VPLĐ ngày phát hành thông báo, kế hoạch thống nhất biểu mẫu với các khối và lộ trình lập kế hoạch bảo đảm không ảnh hưởng chu kỳ ngân sách.</t>
  </si>
  <si>
    <t>Quá hạn 10 ngày; thông báo đang dự thảo và phối hợp các khối thống nhất biểu mẫu; dự kiến hoàn thành 20/9/2026 muộn hơn hạn 20 ngày.</t>
  </si>
  <si>
    <t>Chỉ đạo đã quá hạn 17 ngày; tờ trình đã trình ký Hội đồng ALCO ngày 10/9/2026 và ngày 16/9 tiếp tục lấy ý kiến về áp dụng lãi suất cho vay kỳ điều chỉnh, chưa hoàn tất phê duyệt. NHBL cần yêu cầu chốt kết quả trình ký, xác định ngày ban hành và phương án áp dụng lãi suất theo tiến độ chuyển đổi từng thời kỳ.</t>
  </si>
  <si>
    <t>Quá hạn 17 ngày; tờ trình trình ký HĐ ALCO ngày 10/9/2026; ngày 16/9 lấy ý kiến về áp dụng lãi suất kỳ điều chỉnh; chưa hoàn tất phê duyệt; dự kiến 23/9/2026 muộn hơn thời hạn 23 ngày.</t>
  </si>
  <si>
    <t>Chỉ đạo đã quá hạn 10 ngày; tờ trình đang trình ký Hội đồng ALCO qua eContract ngày 10/9/2026 sau các vòng góp ý, dự kiến hoàn thành muộn hơn thời hạn 18 ngày. NHBL cần yêu cầu hoàn tất trình ký, xác định ngày phê duyệt gói sản phẩm và kế hoạch triển khai các đầu ra (lãi suất huy động, lãi suất cho vay, quy cách sản phẩm).</t>
  </si>
  <si>
    <t>Quá hạn 10 ngày; tờ trình trình ký HĐ ALCO ngày 10/9/2026; dự kiến 23/9/2026 muộn hơn thời hạn 18 ngày; gói sản phẩm chưa hoàn tất.</t>
  </si>
  <si>
    <t>Snapshot+ID</t>
  </si>
  <si>
    <t>Nguồn dữ liệu: Snapshot 10/09/2026 và 17/09/2026 do VPLĐ cung cấp</t>
  </si>
  <si>
    <t>FILE KTNB GIÁM SÁT CÁC CHỈ ĐẠO CỦA CHỦ TỊCH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</si>
</sst>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Còn &quot;0&quot; ngày&quot;;[Red]&quot;Trễ hạn &quot;0&quot; ngày&quot;;&quot;Đến hạn hôm nay&quot;;@"/>
    <numFmt numFmtId="165" formatCode="[Red]&quot;Muộn hơn thời hạn &quot;0&quot; ngày&quot;;[Green]&quot;Sớm hơn thời hạn &quot;0&quot; ngày&quot;;&quot;Không chênh lệch&quot;;@"/>
  </numFmts>
  <fonts count="12" x14ac:knownFonts="1">
    <font>
      <sz val="11"/>
      <color theme="1"/>
      <name val="Calibri"/>
      <family val="2"/>
      <scheme val="minor"/>
    </font>
    <font>
      <b/>
      <sz val="11"/>
      <color rgb="FFFFFFFF"/>
      <name val="Calibri"/>
    </font>
    <font>
      <b/>
      <sz val="11"/>
      <color rgb="FFFFFFFF"/>
      <name val="Calibri"/>
      <family val="2"/>
    </font>
    <font>
      <sz val="8"/>
      <name val="Calibri"/>
      <family val="2"/>
      <scheme val="minor"/>
    </font>
    <font>
      <b/>
      <sz val="11"/>
      <color theme="1"/>
      <name val="Calibri"/>
      <family val="2"/>
      <scheme val="minor"/>
    </font>
    <font>
      <sz val="11"/>
      <color theme="1"/>
      <name val="Aptos"/>
      <family val="2"/>
    </font>
    <font>
      <b/>
      <sz val="11"/>
      <color rgb="FFFFFFFF"/>
      <name val="Aptos"/>
      <family val="2"/>
    </font>
    <font>
      <b/>
      <sz val="14"/>
      <color rgb="FFFF0000"/>
      <name val="Aptos"/>
      <family val="2"/>
    </font>
    <font>
      <i/>
      <sz val="11"/>
      <color theme="0" tint="-0.499984740745262"/>
      <name val="Aptos"/>
      <family val="2"/>
    </font>
    <font>
      <sz val="8"/>
      <color theme="1"/>
      <name val="Aptos"/>
      <family val="2"/>
    </font>
    <font>
      <i/>
      <sz val="12"/>
      <color theme="1"/>
      <name val="Aptos"/>
      <family val="2"/>
    </font>
    <font>
      <b/>
      <sz val="18"/>
      <color theme="1"/>
      <name val="Aptos"/>
      <family val="2"/>
    </font>
  </fonts>
  <fills count="7">
    <fill>
      <patternFill patternType="none"/>
    </fill>
    <fill>
      <patternFill patternType="gray125"/>
    </fill>
    <fill>
      <patternFill patternType="solid">
        <fgColor rgb="FF1F4E78"/>
      </patternFill>
    </fill>
    <fill>
      <patternFill patternType="solid">
        <fgColor theme="5"/>
        <bgColor indexed="64"/>
      </patternFill>
    </fill>
    <fill>
      <patternFill patternType="solid">
        <fgColor rgb="FFFF0000"/>
        <bgColor indexed="64"/>
      </patternFill>
    </fill>
    <fill>
      <patternFill patternType="solid">
        <fgColor theme="9"/>
        <bgColor indexed="64"/>
      </patternFill>
    </fill>
    <fill>
      <patternFill patternType="solid">
        <fgColor rgb="FF00999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s>
  <cellStyleXfs count="1">
    <xf numFmtId="0" fontId="0" fillId="0" borderId="0"/>
  </cellStyleXfs>
  <cellXfs count="49">
    <xf numFmtId="0" fontId="0" fillId="0" borderId="0" xfId="0"/>
    <xf numFmtId="0" fontId="0" fillId="0" borderId="0" xfId="0" applyAlignment="1">
      <alignment vertical="top" wrapText="1"/>
    </xf>
    <xf numFmtId="0" fontId="1" fillId="2" borderId="0" xfId="0" applyFont="1" applyFill="1"/>
    <xf numFmtId="0" fontId="1" fillId="2" borderId="4" xfId="0" applyFont="1" applyFill="1" applyBorder="1" applyAlignment="1">
      <alignment vertical="top"/>
    </xf>
    <xf numFmtId="0" fontId="0" fillId="0" borderId="1" xfId="0" applyBorder="1" applyAlignment="1">
      <alignment vertical="top" wrapText="1"/>
    </xf>
    <xf numFmtId="0" fontId="0" fillId="0" borderId="1" xfId="0" applyBorder="1" applyAlignment="1">
      <alignment horizontal="center" vertical="top" wrapText="1"/>
    </xf>
    <xf numFmtId="14" fontId="0" fillId="0" borderId="1" xfId="0" applyNumberFormat="1" applyBorder="1" applyAlignment="1">
      <alignment vertical="top" wrapText="1"/>
    </xf>
    <xf numFmtId="0" fontId="0" fillId="0" borderId="6" xfId="0" applyBorder="1" applyAlignment="1">
      <alignment vertical="top" wrapText="1"/>
    </xf>
    <xf numFmtId="0" fontId="0" fillId="0" borderId="6" xfId="0" applyBorder="1" applyAlignment="1">
      <alignment horizontal="center" vertical="top" wrapText="1"/>
    </xf>
    <xf numFmtId="14" fontId="0" fillId="0" borderId="6" xfId="0" applyNumberFormat="1" applyBorder="1" applyAlignment="1">
      <alignment vertical="top" wrapText="1"/>
    </xf>
    <xf numFmtId="0" fontId="0" fillId="0" borderId="0" xfId="0" applyAlignment="1">
      <alignment wrapText="1"/>
    </xf>
    <xf numFmtId="0" fontId="1" fillId="4" borderId="4" xfId="0" applyFont="1" applyFill="1" applyBorder="1" applyAlignment="1">
      <alignment horizontal="center" vertical="top" wrapText="1"/>
    </xf>
    <xf numFmtId="0" fontId="0" fillId="0" borderId="0" xfId="0" applyAlignment="1">
      <alignment horizontal="center"/>
    </xf>
    <xf numFmtId="14" fontId="0" fillId="0" borderId="1" xfId="0" applyNumberFormat="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3" borderId="4" xfId="0" applyFont="1" applyFill="1" applyBorder="1" applyAlignment="1">
      <alignment horizontal="center" vertical="top" wrapText="1"/>
    </xf>
    <xf numFmtId="0" fontId="0" fillId="0" borderId="0" xfId="0" applyAlignment="1">
      <alignment horizontal="center" wrapText="1"/>
    </xf>
    <xf numFmtId="0" fontId="1" fillId="5" borderId="4" xfId="0" applyFont="1" applyFill="1" applyBorder="1" applyAlignment="1">
      <alignment horizontal="center" vertical="top" wrapText="1"/>
    </xf>
    <xf numFmtId="0" fontId="2" fillId="6" borderId="4" xfId="0" applyFont="1" applyFill="1" applyBorder="1" applyAlignment="1">
      <alignment horizontal="center" vertical="top" wrapText="1"/>
    </xf>
    <xf numFmtId="0" fontId="0" fillId="0" borderId="1" xfId="0" applyBorder="1" applyAlignment="1">
      <alignment horizontal="left" vertical="top" wrapText="1"/>
    </xf>
    <xf numFmtId="14" fontId="0" fillId="0" borderId="6" xfId="0" applyNumberFormat="1" applyBorder="1" applyAlignment="1">
      <alignment horizontal="center" vertical="top" wrapText="1"/>
    </xf>
    <xf numFmtId="164" fontId="0" fillId="0" borderId="1" xfId="0" applyNumberFormat="1" applyBorder="1" applyAlignment="1">
      <alignment horizontal="left" vertical="top" wrapText="1"/>
    </xf>
    <xf numFmtId="0" fontId="4" fillId="0" borderId="0" xfId="0" applyFont="1" applyAlignment="1">
      <alignment horizontal="center" vertical="center" wrapText="1"/>
    </xf>
    <xf numFmtId="0" fontId="0" fillId="0" borderId="0" xfId="0" applyAlignment="1">
      <alignment horizontal="center" vertical="top" wrapText="1"/>
    </xf>
    <xf numFmtId="0" fontId="0" fillId="0" borderId="0" xfId="0" applyAlignment="1">
      <alignment horizontal="left" vertical="top" wrapText="1"/>
    </xf>
    <xf numFmtId="165" fontId="0" fillId="0" borderId="1" xfId="0" applyNumberFormat="1" applyBorder="1" applyAlignment="1">
      <alignment horizontal="left" vertical="top" wrapText="1"/>
    </xf>
    <xf numFmtId="165" fontId="0" fillId="0" borderId="6" xfId="0" applyNumberFormat="1" applyBorder="1" applyAlignment="1">
      <alignment horizontal="left" vertical="top" wrapText="1"/>
    </xf>
    <xf numFmtId="0" fontId="0" fillId="0" borderId="0" xfId="0" applyAlignment="1">
      <alignment horizontal="center" vertical="top"/>
    </xf>
    <xf numFmtId="0" fontId="5" fillId="0" borderId="0" xfId="0" applyFont="1" applyAlignment="1">
      <alignment vertical="top" wrapText="1"/>
    </xf>
    <xf numFmtId="0" fontId="6" fillId="2" borderId="4" xfId="0" applyFont="1" applyFill="1" applyBorder="1" applyAlignment="1">
      <alignment horizontal="left" vertical="top" wrapText="1"/>
    </xf>
    <xf numFmtId="0" fontId="6" fillId="2" borderId="4" xfId="0" applyFont="1" applyFill="1" applyBorder="1" applyAlignment="1">
      <alignment horizontal="left" vertical="top"/>
    </xf>
    <xf numFmtId="0" fontId="6" fillId="6" borderId="4" xfId="0" applyFont="1" applyFill="1" applyBorder="1" applyAlignment="1">
      <alignment horizontal="left" vertical="top" wrapText="1"/>
    </xf>
    <xf numFmtId="0" fontId="6" fillId="4" borderId="4" xfId="0" applyFont="1" applyFill="1" applyBorder="1" applyAlignment="1">
      <alignment horizontal="left" vertical="top" wrapText="1"/>
    </xf>
    <xf numFmtId="0" fontId="6" fillId="3" borderId="4" xfId="0" applyFont="1" applyFill="1" applyBorder="1" applyAlignment="1">
      <alignment horizontal="left" vertical="top" wrapText="1"/>
    </xf>
    <xf numFmtId="0" fontId="6" fillId="5" borderId="4" xfId="0" applyFont="1" applyFill="1" applyBorder="1" applyAlignment="1">
      <alignment horizontal="left" vertical="top" wrapText="1"/>
    </xf>
    <xf numFmtId="0" fontId="5" fillId="0" borderId="0" xfId="0" applyFont="1" applyAlignment="1">
      <alignment horizontal="center" vertical="top" wrapText="1"/>
    </xf>
    <xf numFmtId="0" fontId="1" fillId="2" borderId="0" xfId="0" applyFont="1" applyFill="1" applyAlignment="1">
      <alignment horizontal="center" vertical="top" wrapText="1"/>
    </xf>
    <xf numFmtId="0" fontId="5" fillId="0" borderId="7" xfId="0" applyFont="1" applyBorder="1" applyAlignment="1">
      <alignment vertical="top" wrapText="1"/>
    </xf>
    <xf numFmtId="0" fontId="6" fillId="5" borderId="3" xfId="0" applyFont="1" applyFill="1" applyBorder="1" applyAlignment="1">
      <alignment horizontal="left" vertical="top" wrapText="1"/>
    </xf>
    <xf numFmtId="0" fontId="7" fillId="0" borderId="0" xfId="0" applyFont="1" applyAlignment="1">
      <alignment vertical="center"/>
    </xf>
    <xf numFmtId="0" fontId="2" fillId="2" borderId="4" xfId="0" applyFont="1" applyFill="1" applyBorder="1" applyAlignment="1">
      <alignment horizontal="center" vertical="top" wrapText="1"/>
    </xf>
    <xf numFmtId="0" fontId="8" fillId="0" borderId="0" xfId="0" applyFont="1" applyAlignment="1">
      <alignment vertical="center"/>
    </xf>
    <xf numFmtId="0" fontId="9" fillId="0" borderId="0" xfId="0" applyFont="1" applyAlignment="1">
      <alignment vertical="top" wrapText="1"/>
    </xf>
    <xf numFmtId="14" fontId="0" fillId="0" borderId="2" xfId="0" applyNumberFormat="1" applyBorder="1" applyAlignment="1">
      <alignment horizontal="center" vertical="top" wrapText="1"/>
    </xf>
    <xf numFmtId="14" fontId="0" fillId="0" borderId="5" xfId="0" applyNumberFormat="1" applyBorder="1" applyAlignment="1">
      <alignment horizontal="center" vertical="top" wrapText="1"/>
    </xf>
    <xf numFmtId="0" fontId="2" fillId="2" borderId="4" xfId="0" applyFont="1" applyFill="1" applyBorder="1" applyAlignment="1">
      <alignment horizontal="center" vertical="top"/>
    </xf>
    <xf numFmtId="0" fontId="10" fillId="0" borderId="0" xfId="0" applyFont="1"/>
    <xf numFmtId="0" fontId="11" fillId="0" borderId="0" xfId="0" applyFont="1"/>
  </cellXfs>
  <cellStyles count="1">
    <cellStyle name="Normal" xfId="0" builtinId="0"/>
  </cellStyles>
  <dxfs count="66">
    <dxf>
      <numFmt numFmtId="0" formatCode="Genera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family val="2"/>
        <scheme val="none"/>
      </font>
      <alignment horizontal="general" vertical="top" textRotation="0" wrapText="1" indent="0" justifyLastLine="0" shrinkToFit="0" readingOrder="0"/>
    </dxf>
    <dxf>
      <font>
        <strike val="0"/>
        <outline val="0"/>
        <shadow val="0"/>
        <u val="none"/>
        <vertAlign val="baseline"/>
        <sz val="11"/>
        <name val="Aptos"/>
        <family val="2"/>
        <scheme val="none"/>
      </font>
      <alignment horizontal="general" vertical="top" textRotation="0" wrapText="1" indent="0" justifyLastLine="0" shrinkToFit="0" readingOrder="0"/>
      <border outline="0">
        <left style="thin">
          <color indexed="64"/>
        </left>
      </border>
    </dxf>
    <dxf>
      <font>
        <b/>
        <strike val="0"/>
        <outline val="0"/>
        <shadow val="0"/>
        <u val="none"/>
        <vertAlign val="baseline"/>
        <sz val="11"/>
        <color rgb="FFFFFFFF"/>
        <name val="Aptos"/>
        <family val="2"/>
        <scheme val="none"/>
      </font>
      <fill>
        <patternFill patternType="solid">
          <fgColor indexed="64"/>
          <bgColor theme="9"/>
        </patternFill>
      </fill>
      <alignment horizontal="left" vertical="top" textRotation="0" wrapText="1" indent="0" justifyLastLine="0" shrinkToFit="0" readingOrder="0"/>
      <border diagonalUp="0" diagonalDown="0" outline="0">
        <left/>
        <right style="thin">
          <color indexed="64"/>
        </right>
        <top/>
        <bottom style="thin">
          <color indexed="64"/>
        </bottom>
      </border>
    </dxf>
    <dxf>
      <font>
        <strike val="0"/>
        <outline val="0"/>
        <shadow val="0"/>
        <u val="none"/>
        <vertAlign val="baseline"/>
        <sz val="11"/>
        <name val="Aptos"/>
        <family val="2"/>
        <scheme val="none"/>
      </font>
      <alignment horizontal="center" vertical="top" textRotation="0" wrapText="1" indent="0" justifyLastLine="0" shrinkToFit="0" readingOrder="0"/>
    </dxf>
    <dxf>
      <font>
        <strike val="0"/>
        <outline val="0"/>
        <shadow val="0"/>
        <u val="none"/>
        <vertAlign val="baseline"/>
        <sz val="1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0" indent="0" justifyLastLine="0" shrinkToFit="0" readingOrder="0"/>
    </dxf>
    <dxf>
      <font>
        <strike val="0"/>
        <outline val="0"/>
        <shadow val="0"/>
        <u val="none"/>
        <vertAlign val="baseline"/>
        <sz val="8"/>
        <color theme="1"/>
        <name val="Aptos"/>
        <family val="2"/>
        <scheme val="none"/>
      </font>
      <alignment horizontal="general" vertical="top" textRotation="0" wrapText="1" indent="0" justifyLastLine="0" shrinkToFit="0" readingOrder="0"/>
    </dxf>
    <dxf>
      <font>
        <strike val="0"/>
        <outline val="0"/>
        <shadow val="0"/>
        <u val="none"/>
        <vertAlign val="baseline"/>
        <sz val="8"/>
        <color theme="1"/>
        <name val="Aptos"/>
        <family val="2"/>
        <scheme val="none"/>
      </font>
      <alignment horizontal="general" vertical="top" textRotation="0" wrapText="1" indent="0" justifyLastLine="0" shrinkToFit="0" readingOrder="0"/>
    </dxf>
    <dxf>
      <font>
        <strike val="0"/>
        <outline val="0"/>
        <shadow val="0"/>
        <u val="none"/>
        <vertAlign val="baseline"/>
        <sz val="8"/>
        <color theme="1"/>
        <name val="Aptos"/>
        <family val="2"/>
        <scheme val="none"/>
      </font>
      <alignment horizontal="general" vertical="top" textRotation="0" wrapText="1" indent="0" justifyLastLine="0" shrinkToFit="0" readingOrder="0"/>
    </dxf>
    <dxf>
      <font>
        <strike val="0"/>
        <outline val="0"/>
        <shadow val="0"/>
        <u val="none"/>
        <vertAlign val="baseline"/>
        <sz val="8"/>
        <color theme="1"/>
        <name val="Aptos"/>
        <family val="2"/>
        <scheme val="none"/>
      </font>
      <alignment horizontal="general" vertical="top" textRotation="0" wrapText="1" indent="0" justifyLastLine="0" shrinkToFit="0" readingOrder="0"/>
    </dxf>
    <dxf>
      <font>
        <strike val="0"/>
        <outline val="0"/>
        <shadow val="0"/>
        <u val="none"/>
        <vertAlign val="baseline"/>
        <sz val="8"/>
        <color theme="1"/>
        <name val="Aptos"/>
        <family val="2"/>
        <scheme val="none"/>
      </font>
      <alignment horizontal="general" vertical="top" textRotation="0" wrapText="1" indent="0" justifyLastLine="0" shrinkToFit="0" readingOrder="0"/>
    </dxf>
    <dxf>
      <font>
        <strike val="0"/>
        <outline val="0"/>
        <shadow val="0"/>
        <u val="none"/>
        <vertAlign val="baseline"/>
        <sz val="8"/>
        <color theme="1"/>
        <name val="Aptos"/>
        <family val="2"/>
        <scheme val="none"/>
      </font>
      <alignment horizontal="general" vertical="top" textRotation="0" wrapText="1" indent="0" justifyLastLine="0" shrinkToFit="0" readingOrder="0"/>
    </dxf>
    <dxf>
      <font>
        <strike val="0"/>
        <outline val="0"/>
        <shadow val="0"/>
        <u val="none"/>
        <vertAlign val="baseline"/>
        <sz val="8"/>
        <color theme="1"/>
        <name val="Aptos"/>
        <family val="2"/>
        <scheme val="none"/>
      </font>
      <alignment horizontal="general" vertical="top" textRotation="0" wrapText="1" indent="0" justifyLastLine="0" shrinkToFit="0" readingOrder="0"/>
    </dxf>
    <dxf>
      <font>
        <strike val="0"/>
        <outline val="0"/>
        <shadow val="0"/>
        <u val="none"/>
        <vertAlign val="baseline"/>
        <sz val="8"/>
        <color theme="1"/>
        <name val="Aptos"/>
        <family val="2"/>
        <scheme val="none"/>
      </font>
      <alignment horizontal="general" vertical="top" textRotation="0" wrapText="1" indent="0" justifyLastLine="0" shrinkToFit="0" readingOrder="0"/>
    </dxf>
    <dxf>
      <numFmt numFmtId="165" formatCode="[Red]&quot;Muộn hơn thời hạn &quot;0&quot; ngày&quot;;[Green]&quot;Sớm hơn thời hạn &quot;0&quot; ngày&quot;;&quot;Không chênh lệch&quo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Còn &quot;0&quot; ngày&quot;;[Red]&quot;Trễ hạn &quot;0&quot; ngày&quot;;&quot;Đến hạn hôm nay&quo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general"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9FE021-C982-4B37-922E-9FD463C18F47}" name="Table1" displayName="Table1" ref="A3:AF448" totalsRowShown="0" headerRowDxfId="65" dataDxfId="63" headerRowBorderDxfId="64" tableBorderDxfId="62" totalsRowBorderDxfId="61">
  <autoFilter ref="A3:AF448" xr:uid="{00000000-0009-0000-0000-000000000000}"/>
  <tableColumns count="32">
    <tableColumn id="1" xr3:uid="{7299711E-799C-495D-B0D1-03C631B08D6F}" name="Snapshot" dataDxfId="1"/>
    <tableColumn id="2" xr3:uid="{9279B48E-3327-4320-9030-3AE692C70409}" name="ID" dataDxfId="2"/>
    <tableColumn id="3" xr3:uid="{7050DFDD-B47F-4666-88BF-76A24B3980CD}" name="Source_Sheet" dataDxfId="60"/>
    <tableColumn id="4" xr3:uid="{A84EB080-7A7F-41DF-8504-01F7DA4D3043}" name="Source_Row" dataDxfId="59"/>
    <tableColumn id="33" xr3:uid="{EEB18707-3C55-4341-A15A-97913920606E}" name="Snapshot+ID" dataDxfId="0">
      <calculatedColumnFormula>_xlfn.TEXTJOIN("+",TRUE,Table1[[#This Row],[Snapshot]:[ID]])</calculatedColumnFormula>
    </tableColumn>
    <tableColumn id="29" xr3:uid="{6E436282-DD7C-4B4C-8F74-269759EDC10F}" name="Mức độ tập trung" dataDxfId="58"/>
    <tableColumn id="28" xr3:uid="{A82068F7-F433-46E0-8594-256A1ADB279D}" name="Nhận định và kiến nghị" dataDxfId="57"/>
    <tableColumn id="30" xr3:uid="{725DA86A-D2AB-4B85-B8EE-CDE3C04E21F1}" name="Dấu hiệu" dataDxfId="56"/>
    <tableColumn id="5" xr3:uid="{22FA11C4-AA79-4C45-9FFC-6F998E1F9197}" name="STT_RAW" dataDxfId="55"/>
    <tableColumn id="6" xr3:uid="{57BE81E8-578D-4224-9ED1-A8F7402F092D}" name="VPLĐ_Group" dataDxfId="54"/>
    <tableColumn id="7" xr3:uid="{9603E84D-3F34-44E0-862B-92A067155030}" name="Topic_Group" dataDxfId="53">
      <calculatedColumnFormula array="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calculatedColumnFormula>
    </tableColumn>
    <tableColumn id="8" xr3:uid="{B67BE4D3-4DCC-4A87-8CAB-67C91FA65DC8}" name="KHỐI" dataDxfId="52"/>
    <tableColumn id="9" xr3:uid="{8BF7871A-3C0B-48B8-8FD2-CAE41F1961D3}" name="Tóm tắt nội dung chỉ đạo" dataDxfId="51"/>
    <tableColumn id="31" xr3:uid="{F3B3EA1E-EB72-413D-878D-24D58796C609}" name="Chịu trách nhiệm (PIC)" dataDxfId="50"/>
    <tableColumn id="10" xr3:uid="{B450EB20-34A6-4E70-A1E5-B7FB70D69F4F}" name="Kỳ họp (RAW)" dataDxfId="49"/>
    <tableColumn id="11" xr3:uid="{758FFD39-27D8-4163-A952-25FCE9BB7EFE}" name="Kỳ họp đầu tiên (Date)" dataDxfId="48"/>
    <tableColumn id="12" xr3:uid="{1EE1048E-E066-4DFD-895F-9B4067F3EA92}" name="Kỳ họp mới nhất (Date)" dataDxfId="47"/>
    <tableColumn id="13" xr3:uid="{9219B9B3-835D-4FDA-A34C-1450DE5F536D}" name="Tổng số kỳ họp" dataDxfId="46"/>
    <tableColumn id="14" xr3:uid="{DF2A2461-D0AE-4A74-A0CA-6BF11E6E53B2}" name="Thời hạn (RAW)" dataDxfId="45"/>
    <tableColumn id="15" xr3:uid="{3C34E98B-E78D-4489-8A1B-6EE12A5A1792}" name="Thời hạn đầu tiên (Date)" dataDxfId="44"/>
    <tableColumn id="16" xr3:uid="{49A3867C-1DB5-4F2D-B0C1-5C329E584AF8}" name="Thời hạn mới nhất (Date)" dataDxfId="43"/>
    <tableColumn id="17" xr3:uid="{6E1BBCAE-36A2-4B40-9721-5EC39CA8CFE3}" name="Số lần thay đổi thời hạn" dataDxfId="42"/>
    <tableColumn id="18" xr3:uid="{4361FCAC-84EF-4EEC-99EB-47B52EE988C1}" name="Số ngày còn lại" dataDxfId="41">
      <calculatedColumnFormula>_xlfn.LET(
_xlpm.H,Table1[[#This Row],[Thời hạn mới nhất (Date)]],
_xlpm.S,Table1[[#This Row],[Snapshot]],
IF(
    ISNUMBER(_xlpm.H),
    INT(_xlpm.H)-INT(_xlpm.S),
    "Không giao thời hạn"
))</calculatedColumnFormula>
    </tableColumn>
    <tableColumn id="19" xr3:uid="{7FF1D559-029A-4243-8BE9-29A6E4EB64DC}" name="Kết quả/tiến độ đến thời điểm báo cáo" dataDxfId="40"/>
    <tableColumn id="20" xr3:uid="{D9ECF213-8482-4678-8331-72E7DEC05151}" name="Hoàn Thành" dataDxfId="39"/>
    <tableColumn id="21" xr3:uid="{D7907995-63A6-4CD8-B04B-C1035F6FACAA}" name="Thực hiện đúng tiến độ" dataDxfId="38"/>
    <tableColumn id="22" xr3:uid="{7E376F2F-F68C-4FC1-A345-3553581C5D75}" name="Chưa hoàn thành" dataDxfId="37"/>
    <tableColumn id="23" xr3:uid="{95FB69BB-C8DC-49D1-95CA-2098DBE6C0E3}" name="Dự kiến thời gian hoàn thành (RAW)" dataDxfId="36"/>
    <tableColumn id="24" xr3:uid="{1B357EAC-7B2F-4486-97CF-344E4D9BFAB8}" name="Dự kiến đầu tiên (Date)" dataDxfId="35"/>
    <tableColumn id="25" xr3:uid="{10C60357-5BB0-4B54-AA40-58FECBEF2A6F}" name="Dự kiến mới nhất (Date)" dataDxfId="34"/>
    <tableColumn id="26" xr3:uid="{AE100344-EF8A-4B9B-9C02-C351920D26DB}" name="Số lần thay đổi dự kiến" dataDxfId="33"/>
    <tableColumn id="27" xr3:uid="{33E717B6-60B5-4045-A25F-3007C9E0F161}" name="Chênh lệch dự kiến so với thời hạn (Ngày)" dataDxfId="32">
      <calculatedColumnFormula>_xlfn.LET(
_xlpm.H,Table1[[#This Row],[Thời hạn mới nhất (Date)]],
_xlpm.D,Table1[[#This Row],[Dự kiến mới nhất (Date)]],
IF(
NOT(ISNUMBER(_xlpm.H)),"Không giao thời hạn",
IF(
NOT(ISNUMBER(_xlpm.D)),"Chưa có dự kiến",
_xlpm.D-_xlpm.H
)))</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F9CB147-F4E4-4353-A08D-630C8DB9C47F}" name="Table6" displayName="Table6" ref="A3:F8" totalsRowShown="0" headerRowDxfId="31" dataDxfId="30">
  <autoFilter ref="A3:F8" xr:uid="{6F9CB147-F4E4-4353-A08D-630C8DB9C47F}"/>
  <tableColumns count="6">
    <tableColumn id="1" xr3:uid="{1FF3528F-9CF1-41B5-8554-5495CE44CF2A}" name="Mức độ" dataDxfId="29"/>
    <tableColumn id="2" xr3:uid="{4AAE977C-AF51-4568-A6CF-AA6D78C2FCD8}" name="Ý nghĩa đối với Ban Kiểm soát" dataDxfId="28"/>
    <tableColumn id="3" xr3:uid="{7F9DEF62-8B2A-40CC-A4C3-49E0937D8A56}" name="Căn cứ phân loại" dataDxfId="27"/>
    <tableColumn id="4" xr3:uid="{EB2626A4-711A-45DE-B9E7-54DF252F6C3D}" name="Cách nhận biết từ dữ liệu, bằng chứng" dataDxfId="26"/>
    <tableColumn id="5" xr3:uid="{FAFEB3E0-8B0B-4ACE-BF2F-5F00ADF5C170}" name="Nhận biết về trách nhiệm" dataDxfId="25"/>
    <tableColumn id="6" xr3:uid="{9B459AC0-2C36-4335-8192-EB9033CED23B}" name="Cách xử lý" dataDxfId="2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28A98C-3843-42DC-8E30-F59404AF098A}" name="Results_Quality" displayName="Results_Quality" ref="A1:C29" totalsRowShown="0" headerRowDxfId="23" dataDxfId="22">
  <autoFilter ref="A1:C29" xr:uid="{7F28A98C-3843-42DC-8E30-F59404AF098A}"/>
  <tableColumns count="3">
    <tableColumn id="1" xr3:uid="{38BC325E-BB10-4849-95EE-CF0B8B9ED736}" name="Chất lượng thông tin" dataDxfId="21"/>
    <tableColumn id="2" xr3:uid="{24587CD4-22D6-4CB1-B7E0-33F933EC66BA}" name="Keyword" dataDxfId="20"/>
    <tableColumn id="3" xr3:uid="{A597DE2D-43B6-4728-8711-3C0AEB3E95A4}" name="Khuyến nghị" dataDxfId="1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3F9005-3374-4770-BA49-BCF38F7FFB00}" name="Table3" displayName="Table3" ref="A1:C12" totalsRowShown="0" headerRowDxfId="18" dataDxfId="17">
  <autoFilter ref="A1:C12" xr:uid="{5E3F9005-3374-4770-BA49-BCF38F7FFB00}"/>
  <tableColumns count="3">
    <tableColumn id="1" xr3:uid="{12E984E9-F952-43B4-BA03-5E6369BC4CDC}" name="Thứ tự ưu tiên" dataDxfId="16"/>
    <tableColumn id="2" xr3:uid="{E2222AEB-7AF5-40DB-8457-ACB90D3737B3}" name="Tình trạng theo dõi chuẩn hóa" dataDxfId="15"/>
    <tableColumn id="3" xr3:uid="{46B1784A-5D05-4DF7-956F-E543855F59E8}" name="Ý nghĩa" dataDxfId="14"/>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68684F-A0A6-4191-8AAE-BFCD5308C493}" name="Topics" displayName="Topics" ref="A1:C39" totalsRowShown="0" headerRowDxfId="13" dataDxfId="12">
  <autoFilter ref="A1:C39" xr:uid="{4568684F-A0A6-4191-8AAE-BFCD5308C493}"/>
  <tableColumns count="3">
    <tableColumn id="1" xr3:uid="{58D05740-B343-4C5E-B5A6-28BCE6EA5D34}" name="Topic_Group" dataDxfId="11"/>
    <tableColumn id="2" xr3:uid="{AB9F56A6-A159-4191-9837-AC992588AA21}" name="Nhóm chỉ đạo" dataDxfId="10"/>
    <tableColumn id="3" xr3:uid="{094CE213-FF6F-438C-AFD8-86107C50A1FE}" name="Keywords" dataDxfId="9"/>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C620E0E-FEF5-41CB-870B-D398ABDE63B8}" name="Table5" displayName="Table5" ref="A1:D31" totalsRowShown="0" headerRowDxfId="8" dataDxfId="7">
  <autoFilter ref="A1:D31" xr:uid="{EC620E0E-FEF5-41CB-870B-D398ABDE63B8}"/>
  <tableColumns count="4">
    <tableColumn id="1" xr3:uid="{990E896E-FF08-45C5-8E73-8F1081084946}" name="STT" dataDxfId="6"/>
    <tableColumn id="2" xr3:uid="{DD057D0D-BABE-453F-B238-76A9608B58C2}" name="Tên cột" dataDxfId="5"/>
    <tableColumn id="3" xr3:uid="{B89956EE-1460-4E77-A1AC-811C30B1C4B4}" name="Thay đổi" dataDxfId="4"/>
    <tableColumn id="4" xr3:uid="{12DD9154-3566-427A-99BE-59982FE2561A}" name="Quy tắc dữ liệu" dataDxfId="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48"/>
  <sheetViews>
    <sheetView showGridLines="0" tabSelected="1" zoomScale="85" zoomScaleNormal="85" workbookViewId="0">
      <pane ySplit="3" topLeftCell="A8" activePane="bottomLeft" state="frozen"/>
      <selection pane="bottomLeft" activeCell="E3" sqref="E3"/>
    </sheetView>
  </sheetViews>
  <sheetFormatPr defaultRowHeight="14.6" x14ac:dyDescent="0.4"/>
  <cols>
    <col min="1" max="1" width="13.84375" bestFit="1" customWidth="1"/>
    <col min="2" max="2" width="17.69140625" customWidth="1"/>
    <col min="3" max="3" width="14.3828125" hidden="1" customWidth="1"/>
    <col min="4" max="4" width="13.3828125" hidden="1" customWidth="1"/>
    <col min="5" max="5" width="14" bestFit="1" customWidth="1"/>
    <col min="6" max="8" width="27.765625" customWidth="1"/>
    <col min="9" max="9" width="11.23046875" hidden="1" customWidth="1"/>
    <col min="10" max="10" width="18" customWidth="1"/>
    <col min="11" max="11" width="13.765625" bestFit="1" customWidth="1"/>
    <col min="12" max="12" width="11.61328125" bestFit="1" customWidth="1"/>
    <col min="13" max="13" width="55" customWidth="1"/>
    <col min="14" max="14" width="20.3828125" bestFit="1" customWidth="1"/>
    <col min="15" max="15" width="21.07421875" customWidth="1"/>
    <col min="16" max="18" width="14.3828125" style="10" customWidth="1"/>
    <col min="19" max="22" width="17.23046875" customWidth="1"/>
    <col min="23" max="23" width="17.61328125" customWidth="1"/>
    <col min="24" max="24" width="56.4609375" customWidth="1"/>
    <col min="25" max="25" width="15.3828125" bestFit="1" customWidth="1"/>
    <col min="26" max="26" width="15.921875" bestFit="1" customWidth="1"/>
    <col min="27" max="27" width="14.4609375" bestFit="1" customWidth="1"/>
    <col min="28" max="28" width="20.921875" style="12" bestFit="1" customWidth="1"/>
    <col min="29" max="29" width="19.23046875" style="12" bestFit="1" customWidth="1"/>
    <col min="30" max="30" width="19.921875" style="12" bestFit="1" customWidth="1"/>
    <col min="31" max="31" width="17.69140625" style="12" bestFit="1" customWidth="1"/>
    <col min="32" max="32" width="24.921875" style="12" bestFit="1" customWidth="1"/>
  </cols>
  <sheetData>
    <row r="1" spans="1:32" ht="23.6" x14ac:dyDescent="0.65">
      <c r="A1" s="48" t="s">
        <v>2081</v>
      </c>
    </row>
    <row r="2" spans="1:32" ht="15.9" x14ac:dyDescent="0.45">
      <c r="A2" s="47" t="s">
        <v>2080</v>
      </c>
    </row>
    <row r="3" spans="1:32" s="17" customFormat="1" ht="29.15" x14ac:dyDescent="0.4">
      <c r="A3" s="14" t="s">
        <v>0</v>
      </c>
      <c r="B3" s="15" t="s">
        <v>1</v>
      </c>
      <c r="C3" s="3" t="s">
        <v>2</v>
      </c>
      <c r="D3" s="3" t="s">
        <v>3</v>
      </c>
      <c r="E3" s="46" t="s">
        <v>2079</v>
      </c>
      <c r="F3" s="19" t="s">
        <v>1031</v>
      </c>
      <c r="G3" s="19" t="s">
        <v>1187</v>
      </c>
      <c r="H3" s="19" t="s">
        <v>1186</v>
      </c>
      <c r="I3" s="15" t="s">
        <v>4</v>
      </c>
      <c r="J3" s="15" t="s">
        <v>5</v>
      </c>
      <c r="K3" s="15" t="s">
        <v>6</v>
      </c>
      <c r="L3" s="15" t="s">
        <v>7</v>
      </c>
      <c r="M3" s="15" t="s">
        <v>8</v>
      </c>
      <c r="N3" s="41" t="s">
        <v>1659</v>
      </c>
      <c r="O3" s="15" t="s">
        <v>9</v>
      </c>
      <c r="P3" s="11" t="s">
        <v>10</v>
      </c>
      <c r="Q3" s="11" t="s">
        <v>11</v>
      </c>
      <c r="R3" s="11" t="s">
        <v>12</v>
      </c>
      <c r="S3" s="16" t="s">
        <v>13</v>
      </c>
      <c r="T3" s="16" t="s">
        <v>14</v>
      </c>
      <c r="U3" s="16" t="s">
        <v>15</v>
      </c>
      <c r="V3" s="16" t="s">
        <v>16</v>
      </c>
      <c r="W3" s="16" t="s">
        <v>17</v>
      </c>
      <c r="X3" s="15" t="s">
        <v>18</v>
      </c>
      <c r="Y3" s="18" t="s">
        <v>19</v>
      </c>
      <c r="Z3" s="18" t="s">
        <v>20</v>
      </c>
      <c r="AA3" s="18" t="s">
        <v>21</v>
      </c>
      <c r="AB3" s="15" t="s">
        <v>22</v>
      </c>
      <c r="AC3" s="15" t="s">
        <v>23</v>
      </c>
      <c r="AD3" s="15" t="s">
        <v>24</v>
      </c>
      <c r="AE3" s="15" t="s">
        <v>25</v>
      </c>
      <c r="AF3" s="11" t="s">
        <v>26</v>
      </c>
    </row>
    <row r="4" spans="1:32" ht="160.30000000000001" x14ac:dyDescent="0.4">
      <c r="A4" s="44">
        <v>46282</v>
      </c>
      <c r="B4" s="4" t="s">
        <v>741</v>
      </c>
      <c r="C4" s="5" t="s">
        <v>688</v>
      </c>
      <c r="D4" s="5">
        <v>32</v>
      </c>
      <c r="E4" s="5" t="str">
        <f>_xlfn.TEXTJOIN("+",TRUE,Table1[[#This Row],[Snapshot]:[ID]])</f>
        <v>46282+DIR-00B179F36230</v>
      </c>
      <c r="F4" s="5"/>
      <c r="G4" s="5" t="s">
        <v>1470</v>
      </c>
      <c r="H4" s="20" t="s">
        <v>1471</v>
      </c>
      <c r="I4" s="5" t="s">
        <v>115</v>
      </c>
      <c r="J4" s="4" t="s">
        <v>689</v>
      </c>
      <c r="K4" s="4" t="str" cm="1">
        <f t="array" ref="K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34. Sản phẩm Tín dụng Bán lẻ và Khách hàng Chuyên biệt</v>
      </c>
      <c r="L4" s="4" t="s">
        <v>688</v>
      </c>
      <c r="M4" s="4" t="s">
        <v>742</v>
      </c>
      <c r="N4" s="4" t="s">
        <v>1696</v>
      </c>
      <c r="O4" s="4" t="s">
        <v>170</v>
      </c>
      <c r="P4" s="6">
        <v>46228</v>
      </c>
      <c r="Q4" s="6">
        <v>46228</v>
      </c>
      <c r="R4" s="5">
        <v>1</v>
      </c>
      <c r="S4" s="5" t="s">
        <v>82</v>
      </c>
      <c r="T4" s="13">
        <v>46265</v>
      </c>
      <c r="U4" s="13">
        <v>46265</v>
      </c>
      <c r="V4" s="5">
        <v>0</v>
      </c>
      <c r="W4" s="22">
        <f>_xlfn.LET(
_xlpm.H,Table1[[#This Row],[Thời hạn mới nhất (Date)]],
_xlpm.S,Table1[[#This Row],[Snapshot]],
IF(
    ISNUMBER(_xlpm.H),
    INT(_xlpm.H)-INT(_xlpm.S),
    "Không giao thời hạn"
))</f>
        <v>-17</v>
      </c>
      <c r="X4" s="4" t="s">
        <v>973</v>
      </c>
      <c r="Y4" s="5"/>
      <c r="Z4" s="5" t="s">
        <v>35</v>
      </c>
      <c r="AA4" s="5"/>
      <c r="AB4" s="4"/>
      <c r="AC4" s="6"/>
      <c r="AD4" s="6"/>
      <c r="AE4" s="4">
        <v>0</v>
      </c>
      <c r="AF4" s="26" t="str">
        <f>_xlfn.LET(
_xlpm.H,Table1[[#This Row],[Thời hạn mới nhất (Date)]],
_xlpm.D,Table1[[#This Row],[Dự kiến mới nhất (Date)]],
IF(
NOT(ISNUMBER(_xlpm.H)),"Không giao thời hạn",
IF(
NOT(ISNUMBER(_xlpm.D)),"Chưa có dự kiến",
_xlpm.D-_xlpm.H
)))</f>
        <v>Chưa có dự kiến</v>
      </c>
    </row>
    <row r="5" spans="1:32" ht="116.6" x14ac:dyDescent="0.4">
      <c r="A5" s="44">
        <v>46275</v>
      </c>
      <c r="B5" s="4" t="s">
        <v>741</v>
      </c>
      <c r="C5" s="5" t="s">
        <v>688</v>
      </c>
      <c r="D5" s="5">
        <v>32</v>
      </c>
      <c r="E5" s="5" t="str">
        <f>_xlfn.TEXTJOIN("+",TRUE,Table1[[#This Row],[Snapshot]:[ID]])</f>
        <v>46275+DIR-00B179F36230</v>
      </c>
      <c r="F5" s="5"/>
      <c r="G5" s="5" t="s">
        <v>1472</v>
      </c>
      <c r="H5" s="20" t="s">
        <v>1473</v>
      </c>
      <c r="I5" s="5" t="s">
        <v>115</v>
      </c>
      <c r="J5" s="4" t="s">
        <v>689</v>
      </c>
      <c r="K5" s="4" t="str" cm="1">
        <f t="array" ref="K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34. Sản phẩm Tín dụng Bán lẻ và Khách hàng Chuyên biệt</v>
      </c>
      <c r="L5" s="4" t="s">
        <v>688</v>
      </c>
      <c r="M5" s="4" t="s">
        <v>742</v>
      </c>
      <c r="N5" s="4" t="s">
        <v>1696</v>
      </c>
      <c r="O5" s="4" t="s">
        <v>170</v>
      </c>
      <c r="P5" s="6">
        <v>46228</v>
      </c>
      <c r="Q5" s="6">
        <v>46228</v>
      </c>
      <c r="R5" s="5">
        <v>1</v>
      </c>
      <c r="S5" s="5" t="s">
        <v>82</v>
      </c>
      <c r="T5" s="13">
        <v>46265</v>
      </c>
      <c r="U5" s="13">
        <v>46265</v>
      </c>
      <c r="V5" s="5">
        <v>0</v>
      </c>
      <c r="W5" s="22">
        <f>_xlfn.LET(
_xlpm.H,Table1[[#This Row],[Thời hạn mới nhất (Date)]],
_xlpm.S,Table1[[#This Row],[Snapshot]],
IF(
    ISNUMBER(_xlpm.H),
    INT(_xlpm.H)-INT(_xlpm.S),
    "Không giao thời hạn"
))</f>
        <v>-10</v>
      </c>
      <c r="X5" s="4" t="s">
        <v>743</v>
      </c>
      <c r="Y5" s="5"/>
      <c r="Z5" s="5" t="s">
        <v>35</v>
      </c>
      <c r="AA5" s="5"/>
      <c r="AB5" s="4"/>
      <c r="AC5" s="6"/>
      <c r="AD5" s="6"/>
      <c r="AE5" s="4">
        <v>0</v>
      </c>
      <c r="AF5" s="26" t="str">
        <f>_xlfn.LET(
_xlpm.H,Table1[[#This Row],[Thời hạn mới nhất (Date)]],
_xlpm.D,Table1[[#This Row],[Dự kiến mới nhất (Date)]],
IF(
NOT(ISNUMBER(_xlpm.H)),"Không giao thời hạn",
IF(
NOT(ISNUMBER(_xlpm.D)),"Chưa có dự kiến",
_xlpm.D-_xlpm.H
)))</f>
        <v>Chưa có dự kiến</v>
      </c>
    </row>
    <row r="6" spans="1:32" ht="160.30000000000001" x14ac:dyDescent="0.4">
      <c r="A6" s="44">
        <v>46282</v>
      </c>
      <c r="B6" s="4" t="s">
        <v>576</v>
      </c>
      <c r="C6" s="5" t="s">
        <v>570</v>
      </c>
      <c r="D6" s="5">
        <v>15</v>
      </c>
      <c r="E6" s="5" t="str">
        <f>_xlfn.TEXTJOIN("+",TRUE,Table1[[#This Row],[Snapshot]:[ID]])</f>
        <v>46282+DIR-04B2E411635D</v>
      </c>
      <c r="F6" s="5"/>
      <c r="G6" s="5" t="s">
        <v>1474</v>
      </c>
      <c r="H6" s="20" t="s">
        <v>1475</v>
      </c>
      <c r="I6" s="5" t="s">
        <v>57</v>
      </c>
      <c r="J6" s="4" t="s">
        <v>30</v>
      </c>
      <c r="K6" s="4" t="str" cm="1">
        <f t="array" ref="K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6" s="4" t="s">
        <v>570</v>
      </c>
      <c r="M6" s="4" t="s">
        <v>577</v>
      </c>
      <c r="N6" s="4" t="s">
        <v>1697</v>
      </c>
      <c r="O6" s="4" t="s">
        <v>160</v>
      </c>
      <c r="P6" s="6">
        <v>46214</v>
      </c>
      <c r="Q6" s="6">
        <v>46214</v>
      </c>
      <c r="R6" s="5">
        <v>1</v>
      </c>
      <c r="S6" s="5" t="s">
        <v>318</v>
      </c>
      <c r="T6" s="13">
        <v>46220</v>
      </c>
      <c r="U6" s="13">
        <v>46220</v>
      </c>
      <c r="V6" s="5">
        <v>0</v>
      </c>
      <c r="W6" s="22">
        <f>_xlfn.LET(
_xlpm.H,Table1[[#This Row],[Thời hạn mới nhất (Date)]],
_xlpm.S,Table1[[#This Row],[Snapshot]],
IF(
    ISNUMBER(_xlpm.H),
    INT(_xlpm.H)-INT(_xlpm.S),
    "Không giao thời hạn"
))</f>
        <v>-62</v>
      </c>
      <c r="X6" s="4" t="s">
        <v>578</v>
      </c>
      <c r="Y6" s="5"/>
      <c r="Z6" s="5" t="s">
        <v>35</v>
      </c>
      <c r="AA6" s="5"/>
      <c r="AB6" s="4"/>
      <c r="AC6" s="6"/>
      <c r="AD6" s="6"/>
      <c r="AE6" s="4">
        <v>0</v>
      </c>
      <c r="AF6" s="26" t="str">
        <f>_xlfn.LET(
_xlpm.H,Table1[[#This Row],[Thời hạn mới nhất (Date)]],
_xlpm.D,Table1[[#This Row],[Dự kiến mới nhất (Date)]],
IF(
NOT(ISNUMBER(_xlpm.H)),"Không giao thời hạn",
IF(
NOT(ISNUMBER(_xlpm.D)),"Chưa có dự kiến",
_xlpm.D-_xlpm.H
)))</f>
        <v>Chưa có dự kiến</v>
      </c>
    </row>
    <row r="7" spans="1:32" ht="116.6" x14ac:dyDescent="0.4">
      <c r="A7" s="44">
        <v>46275</v>
      </c>
      <c r="B7" s="4" t="s">
        <v>576</v>
      </c>
      <c r="C7" s="5" t="s">
        <v>570</v>
      </c>
      <c r="D7" s="5">
        <v>15</v>
      </c>
      <c r="E7" s="5" t="str">
        <f>_xlfn.TEXTJOIN("+",TRUE,Table1[[#This Row],[Snapshot]:[ID]])</f>
        <v>46275+DIR-04B2E411635D</v>
      </c>
      <c r="F7" s="5"/>
      <c r="G7" s="5" t="s">
        <v>1476</v>
      </c>
      <c r="H7" s="20" t="s">
        <v>1477</v>
      </c>
      <c r="I7" s="5" t="s">
        <v>57</v>
      </c>
      <c r="J7" s="4" t="s">
        <v>30</v>
      </c>
      <c r="K7" s="4" t="str" cm="1">
        <f t="array" ref="K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7" s="4" t="s">
        <v>570</v>
      </c>
      <c r="M7" s="4" t="s">
        <v>577</v>
      </c>
      <c r="N7" s="4" t="s">
        <v>1697</v>
      </c>
      <c r="O7" s="4" t="s">
        <v>160</v>
      </c>
      <c r="P7" s="6">
        <v>46214</v>
      </c>
      <c r="Q7" s="6">
        <v>46214</v>
      </c>
      <c r="R7" s="5">
        <v>1</v>
      </c>
      <c r="S7" s="5" t="s">
        <v>318</v>
      </c>
      <c r="T7" s="13">
        <v>46220</v>
      </c>
      <c r="U7" s="13">
        <v>46220</v>
      </c>
      <c r="V7" s="5">
        <v>0</v>
      </c>
      <c r="W7" s="22">
        <f>_xlfn.LET(
_xlpm.H,Table1[[#This Row],[Thời hạn mới nhất (Date)]],
_xlpm.S,Table1[[#This Row],[Snapshot]],
IF(
    ISNUMBER(_xlpm.H),
    INT(_xlpm.H)-INT(_xlpm.S),
    "Không giao thời hạn"
))</f>
        <v>-55</v>
      </c>
      <c r="X7" s="4" t="s">
        <v>578</v>
      </c>
      <c r="Y7" s="5"/>
      <c r="Z7" s="5" t="s">
        <v>35</v>
      </c>
      <c r="AA7" s="5"/>
      <c r="AB7" s="4"/>
      <c r="AC7" s="6"/>
      <c r="AD7" s="6"/>
      <c r="AE7" s="4">
        <v>0</v>
      </c>
      <c r="AF7" s="26" t="str">
        <f>_xlfn.LET(
_xlpm.H,Table1[[#This Row],[Thời hạn mới nhất (Date)]],
_xlpm.D,Table1[[#This Row],[Dự kiến mới nhất (Date)]],
IF(
NOT(ISNUMBER(_xlpm.H)),"Không giao thời hạn",
IF(
NOT(ISNUMBER(_xlpm.D)),"Chưa có dự kiến",
_xlpm.D-_xlpm.H
)))</f>
        <v>Chưa có dự kiến</v>
      </c>
    </row>
    <row r="8" spans="1:32" ht="145.75" x14ac:dyDescent="0.4">
      <c r="A8" s="44">
        <v>46282</v>
      </c>
      <c r="B8" s="4" t="s">
        <v>146</v>
      </c>
      <c r="C8" s="5" t="s">
        <v>44</v>
      </c>
      <c r="D8" s="5">
        <v>37</v>
      </c>
      <c r="E8" s="5" t="str">
        <f>_xlfn.TEXTJOIN("+",TRUE,Table1[[#This Row],[Snapshot]:[ID]])</f>
        <v>46282+DIR-04BCDB0D66CD</v>
      </c>
      <c r="F8" s="5"/>
      <c r="G8" s="5" t="s">
        <v>1299</v>
      </c>
      <c r="H8" s="20" t="s">
        <v>1299</v>
      </c>
      <c r="I8" s="5" t="s">
        <v>168</v>
      </c>
      <c r="J8" s="4" t="s">
        <v>30</v>
      </c>
      <c r="K8" s="4" t="str" cm="1">
        <f t="array" ref="K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35. Năng suất Làm việc và Công cụ Cộng tác Nội bộ</v>
      </c>
      <c r="L8" s="4" t="s">
        <v>44</v>
      </c>
      <c r="M8" s="4" t="s">
        <v>148</v>
      </c>
      <c r="N8" s="4" t="s">
        <v>1698</v>
      </c>
      <c r="O8" s="4" t="s">
        <v>149</v>
      </c>
      <c r="P8" s="6">
        <v>46195</v>
      </c>
      <c r="Q8" s="6">
        <v>46195</v>
      </c>
      <c r="R8" s="5">
        <v>1</v>
      </c>
      <c r="S8" s="5"/>
      <c r="T8" s="13"/>
      <c r="U8" s="13"/>
      <c r="V8" s="5">
        <v>0</v>
      </c>
      <c r="W8" s="22" t="str">
        <f>_xlfn.LET(
_xlpm.H,Table1[[#This Row],[Thời hạn mới nhất (Date)]],
_xlpm.S,Table1[[#This Row],[Snapshot]],
IF(
    ISNUMBER(_xlpm.H),
    INT(_xlpm.H)-INT(_xlpm.S),
    "Không giao thời hạn"
))</f>
        <v>Không giao thời hạn</v>
      </c>
      <c r="X8" s="4" t="s">
        <v>150</v>
      </c>
      <c r="Y8" s="5"/>
      <c r="Z8" s="5" t="s">
        <v>35</v>
      </c>
      <c r="AA8" s="5"/>
      <c r="AB8" s="4" t="s">
        <v>50</v>
      </c>
      <c r="AC8" s="6"/>
      <c r="AD8" s="6"/>
      <c r="AE8" s="4">
        <v>0</v>
      </c>
      <c r="AF8" s="26" t="str">
        <f>_xlfn.LET(
_xlpm.H,Table1[[#This Row],[Thời hạn mới nhất (Date)]],
_xlpm.D,Table1[[#This Row],[Dự kiến mới nhất (Date)]],
IF(
NOT(ISNUMBER(_xlpm.H)),"Không giao thời hạn",
IF(
NOT(ISNUMBER(_xlpm.D)),"Chưa có dự kiến",
_xlpm.D-_xlpm.H
)))</f>
        <v>Không giao thời hạn</v>
      </c>
    </row>
    <row r="9" spans="1:32" ht="145.75" x14ac:dyDescent="0.4">
      <c r="A9" s="44">
        <v>46275</v>
      </c>
      <c r="B9" s="4" t="s">
        <v>146</v>
      </c>
      <c r="C9" s="5" t="s">
        <v>44</v>
      </c>
      <c r="D9" s="5">
        <v>33</v>
      </c>
      <c r="E9" s="5" t="str">
        <f>_xlfn.TEXTJOIN("+",TRUE,Table1[[#This Row],[Snapshot]:[ID]])</f>
        <v>46275+DIR-04BCDB0D66CD</v>
      </c>
      <c r="F9" s="5"/>
      <c r="G9" s="5" t="s">
        <v>1299</v>
      </c>
      <c r="H9" s="20" t="s">
        <v>1299</v>
      </c>
      <c r="I9" s="5" t="s">
        <v>147</v>
      </c>
      <c r="J9" s="4" t="s">
        <v>30</v>
      </c>
      <c r="K9" s="4" t="str" cm="1">
        <f t="array" ref="K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35. Năng suất Làm việc và Công cụ Cộng tác Nội bộ</v>
      </c>
      <c r="L9" s="4" t="s">
        <v>44</v>
      </c>
      <c r="M9" s="4" t="s">
        <v>148</v>
      </c>
      <c r="N9" s="4" t="s">
        <v>1698</v>
      </c>
      <c r="O9" s="4" t="s">
        <v>149</v>
      </c>
      <c r="P9" s="6">
        <v>46195</v>
      </c>
      <c r="Q9" s="6">
        <v>46195</v>
      </c>
      <c r="R9" s="5">
        <v>1</v>
      </c>
      <c r="S9" s="5"/>
      <c r="T9" s="13"/>
      <c r="U9" s="13"/>
      <c r="V9" s="5">
        <v>0</v>
      </c>
      <c r="W9" s="22" t="str">
        <f>_xlfn.LET(
_xlpm.H,Table1[[#This Row],[Thời hạn mới nhất (Date)]],
_xlpm.S,Table1[[#This Row],[Snapshot]],
IF(
    ISNUMBER(_xlpm.H),
    INT(_xlpm.H)-INT(_xlpm.S),
    "Không giao thời hạn"
))</f>
        <v>Không giao thời hạn</v>
      </c>
      <c r="X9" s="4" t="s">
        <v>150</v>
      </c>
      <c r="Y9" s="5"/>
      <c r="Z9" s="5" t="s">
        <v>35</v>
      </c>
      <c r="AA9" s="5"/>
      <c r="AB9" s="4" t="s">
        <v>50</v>
      </c>
      <c r="AC9" s="6"/>
      <c r="AD9" s="6"/>
      <c r="AE9" s="4">
        <v>0</v>
      </c>
      <c r="AF9" s="26" t="str">
        <f>_xlfn.LET(
_xlpm.H,Table1[[#This Row],[Thời hạn mới nhất (Date)]],
_xlpm.D,Table1[[#This Row],[Dự kiến mới nhất (Date)]],
IF(
NOT(ISNUMBER(_xlpm.H)),"Không giao thời hạn",
IF(
NOT(ISNUMBER(_xlpm.D)),"Chưa có dự kiến",
_xlpm.D-_xlpm.H
)))</f>
        <v>Không giao thời hạn</v>
      </c>
    </row>
    <row r="10" spans="1:32" ht="145.75" x14ac:dyDescent="0.4">
      <c r="A10" s="44">
        <v>46282</v>
      </c>
      <c r="B10" s="4" t="s">
        <v>167</v>
      </c>
      <c r="C10" s="5" t="s">
        <v>44</v>
      </c>
      <c r="D10" s="5">
        <v>41</v>
      </c>
      <c r="E10" s="5" t="str">
        <f>_xlfn.TEXTJOIN("+",TRUE,Table1[[#This Row],[Snapshot]:[ID]])</f>
        <v>46282+DIR-0742B9286D3C</v>
      </c>
      <c r="F10" s="5"/>
      <c r="G10" s="5" t="s">
        <v>1278</v>
      </c>
      <c r="H10" s="20" t="s">
        <v>1279</v>
      </c>
      <c r="I10" s="5" t="s">
        <v>783</v>
      </c>
      <c r="J10" s="4" t="s">
        <v>30</v>
      </c>
      <c r="K10" s="4" t="str" cm="1">
        <f t="array" ref="K1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10" s="4" t="s">
        <v>44</v>
      </c>
      <c r="M10" s="4" t="s">
        <v>169</v>
      </c>
      <c r="N10" s="4" t="s">
        <v>1699</v>
      </c>
      <c r="O10" s="4" t="s">
        <v>170</v>
      </c>
      <c r="P10" s="6">
        <v>46228</v>
      </c>
      <c r="Q10" s="6">
        <v>46228</v>
      </c>
      <c r="R10" s="5">
        <v>1</v>
      </c>
      <c r="S10" s="5" t="s">
        <v>171</v>
      </c>
      <c r="T10" s="13">
        <v>46232</v>
      </c>
      <c r="U10" s="13">
        <v>46232</v>
      </c>
      <c r="V10" s="5">
        <v>0</v>
      </c>
      <c r="W10" s="22">
        <f>_xlfn.LET(
_xlpm.H,Table1[[#This Row],[Thời hạn mới nhất (Date)]],
_xlpm.S,Table1[[#This Row],[Snapshot]],
IF(
    ISNUMBER(_xlpm.H),
    INT(_xlpm.H)-INT(_xlpm.S),
    "Không giao thời hạn"
))</f>
        <v>-50</v>
      </c>
      <c r="X10" s="4" t="s">
        <v>172</v>
      </c>
      <c r="Y10" s="5"/>
      <c r="Z10" s="5" t="s">
        <v>35</v>
      </c>
      <c r="AA10" s="5"/>
      <c r="AB10" s="4" t="s">
        <v>82</v>
      </c>
      <c r="AC10" s="6">
        <v>46265</v>
      </c>
      <c r="AD10" s="6">
        <v>46265</v>
      </c>
      <c r="AE10" s="4">
        <v>0</v>
      </c>
      <c r="AF10" s="26">
        <f>_xlfn.LET(
_xlpm.H,Table1[[#This Row],[Thời hạn mới nhất (Date)]],
_xlpm.D,Table1[[#This Row],[Dự kiến mới nhất (Date)]],
IF(
NOT(ISNUMBER(_xlpm.H)),"Không giao thời hạn",
IF(
NOT(ISNUMBER(_xlpm.D)),"Chưa có dự kiến",
_xlpm.D-_xlpm.H
)))</f>
        <v>33</v>
      </c>
    </row>
    <row r="11" spans="1:32" ht="116.6" x14ac:dyDescent="0.4">
      <c r="A11" s="44">
        <v>46275</v>
      </c>
      <c r="B11" s="4" t="s">
        <v>167</v>
      </c>
      <c r="C11" s="5" t="s">
        <v>44</v>
      </c>
      <c r="D11" s="5">
        <v>37</v>
      </c>
      <c r="E11" s="5" t="str">
        <f>_xlfn.TEXTJOIN("+",TRUE,Table1[[#This Row],[Snapshot]:[ID]])</f>
        <v>46275+DIR-0742B9286D3C</v>
      </c>
      <c r="F11" s="5"/>
      <c r="G11" s="5" t="s">
        <v>1280</v>
      </c>
      <c r="H11" s="20" t="s">
        <v>1281</v>
      </c>
      <c r="I11" s="5" t="s">
        <v>168</v>
      </c>
      <c r="J11" s="4" t="s">
        <v>30</v>
      </c>
      <c r="K11" s="4" t="str" cm="1">
        <f t="array" ref="K1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11" s="4" t="s">
        <v>44</v>
      </c>
      <c r="M11" s="4" t="s">
        <v>169</v>
      </c>
      <c r="N11" s="4" t="s">
        <v>1699</v>
      </c>
      <c r="O11" s="4" t="s">
        <v>170</v>
      </c>
      <c r="P11" s="6">
        <v>46228</v>
      </c>
      <c r="Q11" s="6">
        <v>46228</v>
      </c>
      <c r="R11" s="5">
        <v>1</v>
      </c>
      <c r="S11" s="5" t="s">
        <v>171</v>
      </c>
      <c r="T11" s="13">
        <v>46232</v>
      </c>
      <c r="U11" s="13">
        <v>46232</v>
      </c>
      <c r="V11" s="5">
        <v>0</v>
      </c>
      <c r="W11" s="22">
        <f>_xlfn.LET(
_xlpm.H,Table1[[#This Row],[Thời hạn mới nhất (Date)]],
_xlpm.S,Table1[[#This Row],[Snapshot]],
IF(
    ISNUMBER(_xlpm.H),
    INT(_xlpm.H)-INT(_xlpm.S),
    "Không giao thời hạn"
))</f>
        <v>-43</v>
      </c>
      <c r="X11" s="4" t="s">
        <v>172</v>
      </c>
      <c r="Y11" s="5"/>
      <c r="Z11" s="5" t="s">
        <v>35</v>
      </c>
      <c r="AA11" s="5"/>
      <c r="AB11" s="4" t="s">
        <v>82</v>
      </c>
      <c r="AC11" s="6">
        <v>46265</v>
      </c>
      <c r="AD11" s="6">
        <v>46265</v>
      </c>
      <c r="AE11" s="4">
        <v>0</v>
      </c>
      <c r="AF11" s="26">
        <f>_xlfn.LET(
_xlpm.H,Table1[[#This Row],[Thời hạn mới nhất (Date)]],
_xlpm.D,Table1[[#This Row],[Dự kiến mới nhất (Date)]],
IF(
NOT(ISNUMBER(_xlpm.H)),"Không giao thời hạn",
IF(
NOT(ISNUMBER(_xlpm.D)),"Chưa có dự kiến",
_xlpm.D-_xlpm.H
)))</f>
        <v>33</v>
      </c>
    </row>
    <row r="12" spans="1:32" ht="160.30000000000001" x14ac:dyDescent="0.4">
      <c r="A12" s="44">
        <v>46282</v>
      </c>
      <c r="B12" s="4" t="s">
        <v>632</v>
      </c>
      <c r="C12" s="5" t="s">
        <v>607</v>
      </c>
      <c r="D12" s="5">
        <v>20</v>
      </c>
      <c r="E12" s="5" t="str">
        <f>_xlfn.TEXTJOIN("+",TRUE,Table1[[#This Row],[Snapshot]:[ID]])</f>
        <v>46282+DIR-0954B3259BCB</v>
      </c>
      <c r="F12" s="5"/>
      <c r="G12" s="5" t="s">
        <v>1734</v>
      </c>
      <c r="H12" s="20" t="s">
        <v>1735</v>
      </c>
      <c r="I12" s="5" t="s">
        <v>85</v>
      </c>
      <c r="J12" s="4" t="s">
        <v>30</v>
      </c>
      <c r="K12" s="4" t="str" cm="1">
        <f t="array" ref="K1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12" s="4" t="s">
        <v>607</v>
      </c>
      <c r="M12" s="4" t="s">
        <v>633</v>
      </c>
      <c r="N12" s="4" t="s">
        <v>1700</v>
      </c>
      <c r="O12" s="4" t="s">
        <v>191</v>
      </c>
      <c r="P12" s="6">
        <v>46262</v>
      </c>
      <c r="Q12" s="6">
        <v>46262</v>
      </c>
      <c r="R12" s="5">
        <v>1</v>
      </c>
      <c r="S12" s="5" t="s">
        <v>634</v>
      </c>
      <c r="T12" s="13">
        <v>46263</v>
      </c>
      <c r="U12" s="13">
        <v>46263</v>
      </c>
      <c r="V12" s="5">
        <v>0</v>
      </c>
      <c r="W12" s="22">
        <f>_xlfn.LET(
_xlpm.H,Table1[[#This Row],[Thời hạn mới nhất (Date)]],
_xlpm.S,Table1[[#This Row],[Snapshot]],
IF(
    ISNUMBER(_xlpm.H),
    INT(_xlpm.H)-INT(_xlpm.S),
    "Không giao thời hạn"
))</f>
        <v>-19</v>
      </c>
      <c r="X12" s="4" t="s">
        <v>635</v>
      </c>
      <c r="Y12" s="5"/>
      <c r="Z12" s="5" t="s">
        <v>35</v>
      </c>
      <c r="AA12" s="5"/>
      <c r="AB12" s="4"/>
      <c r="AC12" s="6"/>
      <c r="AD12" s="6"/>
      <c r="AE12" s="4">
        <v>0</v>
      </c>
      <c r="AF12" s="26" t="str">
        <f>_xlfn.LET(
_xlpm.H,Table1[[#This Row],[Thời hạn mới nhất (Date)]],
_xlpm.D,Table1[[#This Row],[Dự kiến mới nhất (Date)]],
IF(
NOT(ISNUMBER(_xlpm.H)),"Không giao thời hạn",
IF(
NOT(ISNUMBER(_xlpm.D)),"Chưa có dự kiến",
_xlpm.D-_xlpm.H
)))</f>
        <v>Chưa có dự kiến</v>
      </c>
    </row>
    <row r="13" spans="1:32" ht="174.9" x14ac:dyDescent="0.4">
      <c r="A13" s="44">
        <v>46275</v>
      </c>
      <c r="B13" s="4" t="s">
        <v>632</v>
      </c>
      <c r="C13" s="5" t="s">
        <v>607</v>
      </c>
      <c r="D13" s="5">
        <v>20</v>
      </c>
      <c r="E13" s="5" t="str">
        <f>_xlfn.TEXTJOIN("+",TRUE,Table1[[#This Row],[Snapshot]:[ID]])</f>
        <v>46275+DIR-0954B3259BCB</v>
      </c>
      <c r="F13" s="5"/>
      <c r="G13" s="5" t="s">
        <v>1736</v>
      </c>
      <c r="H13" s="20" t="s">
        <v>1737</v>
      </c>
      <c r="I13" s="5" t="s">
        <v>85</v>
      </c>
      <c r="J13" s="4" t="s">
        <v>30</v>
      </c>
      <c r="K13" s="4" t="str" cm="1">
        <f t="array" ref="K1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13" s="4" t="s">
        <v>607</v>
      </c>
      <c r="M13" s="4" t="s">
        <v>633</v>
      </c>
      <c r="N13" s="4" t="s">
        <v>1700</v>
      </c>
      <c r="O13" s="4" t="s">
        <v>191</v>
      </c>
      <c r="P13" s="6">
        <v>46262</v>
      </c>
      <c r="Q13" s="6">
        <v>46262</v>
      </c>
      <c r="R13" s="5">
        <v>1</v>
      </c>
      <c r="S13" s="5" t="s">
        <v>634</v>
      </c>
      <c r="T13" s="13">
        <v>46263</v>
      </c>
      <c r="U13" s="13">
        <v>46263</v>
      </c>
      <c r="V13" s="5">
        <v>0</v>
      </c>
      <c r="W13" s="22">
        <f>_xlfn.LET(
_xlpm.H,Table1[[#This Row],[Thời hạn mới nhất (Date)]],
_xlpm.S,Table1[[#This Row],[Snapshot]],
IF(
    ISNUMBER(_xlpm.H),
    INT(_xlpm.H)-INT(_xlpm.S),
    "Không giao thời hạn"
))</f>
        <v>-12</v>
      </c>
      <c r="X13" s="4" t="s">
        <v>635</v>
      </c>
      <c r="Y13" s="5"/>
      <c r="Z13" s="5" t="s">
        <v>35</v>
      </c>
      <c r="AA13" s="5"/>
      <c r="AB13" s="4"/>
      <c r="AC13" s="6"/>
      <c r="AD13" s="6"/>
      <c r="AE13" s="4">
        <v>0</v>
      </c>
      <c r="AF13" s="26" t="str">
        <f>_xlfn.LET(
_xlpm.H,Table1[[#This Row],[Thời hạn mới nhất (Date)]],
_xlpm.D,Table1[[#This Row],[Dự kiến mới nhất (Date)]],
IF(
NOT(ISNUMBER(_xlpm.H)),"Không giao thời hạn",
IF(
NOT(ISNUMBER(_xlpm.D)),"Chưa có dự kiến",
_xlpm.D-_xlpm.H
)))</f>
        <v>Chưa có dự kiến</v>
      </c>
    </row>
    <row r="14" spans="1:32" ht="131.15" x14ac:dyDescent="0.4">
      <c r="A14" s="44">
        <v>46282</v>
      </c>
      <c r="B14" s="4" t="s">
        <v>591</v>
      </c>
      <c r="C14" s="5" t="s">
        <v>570</v>
      </c>
      <c r="D14" s="5">
        <v>20</v>
      </c>
      <c r="E14" s="5" t="str">
        <f>_xlfn.TEXTJOIN("+",TRUE,Table1[[#This Row],[Snapshot]:[ID]])</f>
        <v>46282+DIR-0A2A809FFA5B</v>
      </c>
      <c r="F14" s="5"/>
      <c r="G14" s="5" t="s">
        <v>1352</v>
      </c>
      <c r="H14" s="20" t="s">
        <v>1353</v>
      </c>
      <c r="I14" s="5" t="s">
        <v>85</v>
      </c>
      <c r="J14" s="4" t="s">
        <v>30</v>
      </c>
      <c r="K14" s="4" t="str" cm="1">
        <f t="array" ref="K1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14" s="4" t="s">
        <v>570</v>
      </c>
      <c r="M14" s="4" t="s">
        <v>592</v>
      </c>
      <c r="N14" s="4" t="s">
        <v>1697</v>
      </c>
      <c r="O14" s="4" t="s">
        <v>191</v>
      </c>
      <c r="P14" s="6">
        <v>46262</v>
      </c>
      <c r="Q14" s="6">
        <v>46262</v>
      </c>
      <c r="R14" s="5">
        <v>1</v>
      </c>
      <c r="S14" s="5"/>
      <c r="T14" s="13"/>
      <c r="U14" s="13"/>
      <c r="V14" s="5">
        <v>0</v>
      </c>
      <c r="W14" s="22" t="str">
        <f>_xlfn.LET(
_xlpm.H,Table1[[#This Row],[Thời hạn mới nhất (Date)]],
_xlpm.S,Table1[[#This Row],[Snapshot]],
IF(
    ISNUMBER(_xlpm.H),
    INT(_xlpm.H)-INT(_xlpm.S),
    "Không giao thời hạn"
))</f>
        <v>Không giao thời hạn</v>
      </c>
      <c r="X14" s="4" t="s">
        <v>957</v>
      </c>
      <c r="Y14" s="5"/>
      <c r="Z14" s="5" t="s">
        <v>35</v>
      </c>
      <c r="AA14" s="5"/>
      <c r="AB14" s="4"/>
      <c r="AC14" s="6"/>
      <c r="AD14" s="6"/>
      <c r="AE14" s="4">
        <v>0</v>
      </c>
      <c r="AF14" s="26" t="str">
        <f>_xlfn.LET(
_xlpm.H,Table1[[#This Row],[Thời hạn mới nhất (Date)]],
_xlpm.D,Table1[[#This Row],[Dự kiến mới nhất (Date)]],
IF(
NOT(ISNUMBER(_xlpm.H)),"Không giao thời hạn",
IF(
NOT(ISNUMBER(_xlpm.D)),"Chưa có dự kiến",
_xlpm.D-_xlpm.H
)))</f>
        <v>Không giao thời hạn</v>
      </c>
    </row>
    <row r="15" spans="1:32" ht="102" x14ac:dyDescent="0.4">
      <c r="A15" s="44">
        <v>46275</v>
      </c>
      <c r="B15" s="4" t="s">
        <v>591</v>
      </c>
      <c r="C15" s="5" t="s">
        <v>570</v>
      </c>
      <c r="D15" s="5">
        <v>20</v>
      </c>
      <c r="E15" s="5" t="str">
        <f>_xlfn.TEXTJOIN("+",TRUE,Table1[[#This Row],[Snapshot]:[ID]])</f>
        <v>46275+DIR-0A2A809FFA5B</v>
      </c>
      <c r="F15" s="5"/>
      <c r="G15" s="5" t="s">
        <v>1354</v>
      </c>
      <c r="H15" s="20" t="s">
        <v>1355</v>
      </c>
      <c r="I15" s="5" t="s">
        <v>85</v>
      </c>
      <c r="J15" s="4" t="s">
        <v>30</v>
      </c>
      <c r="K15" s="4" t="str" cm="1">
        <f t="array" ref="K1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15" s="4" t="s">
        <v>570</v>
      </c>
      <c r="M15" s="4" t="s">
        <v>592</v>
      </c>
      <c r="N15" s="4" t="s">
        <v>1697</v>
      </c>
      <c r="O15" s="4" t="s">
        <v>191</v>
      </c>
      <c r="P15" s="6">
        <v>46262</v>
      </c>
      <c r="Q15" s="6">
        <v>46262</v>
      </c>
      <c r="R15" s="5">
        <v>1</v>
      </c>
      <c r="S15" s="5"/>
      <c r="T15" s="13"/>
      <c r="U15" s="13"/>
      <c r="V15" s="5">
        <v>0</v>
      </c>
      <c r="W15" s="22" t="str">
        <f>_xlfn.LET(
_xlpm.H,Table1[[#This Row],[Thời hạn mới nhất (Date)]],
_xlpm.S,Table1[[#This Row],[Snapshot]],
IF(
    ISNUMBER(_xlpm.H),
    INT(_xlpm.H)-INT(_xlpm.S),
    "Không giao thời hạn"
))</f>
        <v>Không giao thời hạn</v>
      </c>
      <c r="X15" s="4" t="s">
        <v>593</v>
      </c>
      <c r="Y15" s="5"/>
      <c r="Z15" s="5" t="s">
        <v>35</v>
      </c>
      <c r="AA15" s="5"/>
      <c r="AB15" s="4"/>
      <c r="AC15" s="6"/>
      <c r="AD15" s="6"/>
      <c r="AE15" s="4">
        <v>0</v>
      </c>
      <c r="AF15" s="26" t="str">
        <f>_xlfn.LET(
_xlpm.H,Table1[[#This Row],[Thời hạn mới nhất (Date)]],
_xlpm.D,Table1[[#This Row],[Dự kiến mới nhất (Date)]],
IF(
NOT(ISNUMBER(_xlpm.H)),"Không giao thời hạn",
IF(
NOT(ISNUMBER(_xlpm.D)),"Chưa có dự kiến",
_xlpm.D-_xlpm.H
)))</f>
        <v>Không giao thời hạn</v>
      </c>
    </row>
    <row r="16" spans="1:32" ht="116.6" x14ac:dyDescent="0.4">
      <c r="A16" s="44">
        <v>46282</v>
      </c>
      <c r="B16" s="4" t="s">
        <v>611</v>
      </c>
      <c r="C16" s="5" t="s">
        <v>607</v>
      </c>
      <c r="D16" s="5">
        <v>14</v>
      </c>
      <c r="E16" s="5" t="str">
        <f>_xlfn.TEXTJOIN("+",TRUE,Table1[[#This Row],[Snapshot]:[ID]])</f>
        <v>46282+DIR-0D4B87862FD4</v>
      </c>
      <c r="F16" s="5"/>
      <c r="G16" s="5" t="s">
        <v>1356</v>
      </c>
      <c r="H16" s="20" t="s">
        <v>1357</v>
      </c>
      <c r="I16" s="5" t="s">
        <v>52</v>
      </c>
      <c r="J16" s="4" t="s">
        <v>30</v>
      </c>
      <c r="K16" s="4" t="str" cm="1">
        <f t="array" ref="K1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37. Sở hữu trí tuệ, Bản quyền và Bảo hộ Thương hiệu</v>
      </c>
      <c r="L16" s="4" t="s">
        <v>607</v>
      </c>
      <c r="M16" s="4" t="s">
        <v>612</v>
      </c>
      <c r="N16" s="4" t="s">
        <v>1700</v>
      </c>
      <c r="O16" s="4" t="s">
        <v>154</v>
      </c>
      <c r="P16" s="6">
        <v>46200</v>
      </c>
      <c r="Q16" s="6">
        <v>46200</v>
      </c>
      <c r="R16" s="5">
        <v>1</v>
      </c>
      <c r="S16" s="5"/>
      <c r="T16" s="13"/>
      <c r="U16" s="13"/>
      <c r="V16" s="5">
        <v>0</v>
      </c>
      <c r="W16" s="22" t="str">
        <f>_xlfn.LET(
_xlpm.H,Table1[[#This Row],[Thời hạn mới nhất (Date)]],
_xlpm.S,Table1[[#This Row],[Snapshot]],
IF(
    ISNUMBER(_xlpm.H),
    INT(_xlpm.H)-INT(_xlpm.S),
    "Không giao thời hạn"
))</f>
        <v>Không giao thời hạn</v>
      </c>
      <c r="X16" s="4" t="s">
        <v>613</v>
      </c>
      <c r="Y16" s="5"/>
      <c r="Z16" s="5" t="s">
        <v>35</v>
      </c>
      <c r="AA16" s="5"/>
      <c r="AB16" s="4" t="s">
        <v>50</v>
      </c>
      <c r="AC16" s="6"/>
      <c r="AD16" s="6"/>
      <c r="AE16" s="4">
        <v>0</v>
      </c>
      <c r="AF16" s="26" t="str">
        <f>_xlfn.LET(
_xlpm.H,Table1[[#This Row],[Thời hạn mới nhất (Date)]],
_xlpm.D,Table1[[#This Row],[Dự kiến mới nhất (Date)]],
IF(
NOT(ISNUMBER(_xlpm.H)),"Không giao thời hạn",
IF(
NOT(ISNUMBER(_xlpm.D)),"Chưa có dự kiến",
_xlpm.D-_xlpm.H
)))</f>
        <v>Không giao thời hạn</v>
      </c>
    </row>
    <row r="17" spans="1:32" ht="116.6" x14ac:dyDescent="0.4">
      <c r="A17" s="44">
        <v>46275</v>
      </c>
      <c r="B17" s="4" t="s">
        <v>611</v>
      </c>
      <c r="C17" s="5" t="s">
        <v>607</v>
      </c>
      <c r="D17" s="5">
        <v>14</v>
      </c>
      <c r="E17" s="5" t="str">
        <f>_xlfn.TEXTJOIN("+",TRUE,Table1[[#This Row],[Snapshot]:[ID]])</f>
        <v>46275+DIR-0D4B87862FD4</v>
      </c>
      <c r="F17" s="5"/>
      <c r="G17" s="5" t="s">
        <v>1356</v>
      </c>
      <c r="H17" s="20" t="s">
        <v>1357</v>
      </c>
      <c r="I17" s="5" t="s">
        <v>52</v>
      </c>
      <c r="J17" s="4" t="s">
        <v>30</v>
      </c>
      <c r="K17" s="4" t="str" cm="1">
        <f t="array" ref="K1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37. Sở hữu trí tuệ, Bản quyền và Bảo hộ Thương hiệu</v>
      </c>
      <c r="L17" s="4" t="s">
        <v>607</v>
      </c>
      <c r="M17" s="4" t="s">
        <v>612</v>
      </c>
      <c r="N17" s="4" t="s">
        <v>1700</v>
      </c>
      <c r="O17" s="4" t="s">
        <v>154</v>
      </c>
      <c r="P17" s="6">
        <v>46200</v>
      </c>
      <c r="Q17" s="6">
        <v>46200</v>
      </c>
      <c r="R17" s="5">
        <v>1</v>
      </c>
      <c r="S17" s="5"/>
      <c r="T17" s="13"/>
      <c r="U17" s="13"/>
      <c r="V17" s="5">
        <v>0</v>
      </c>
      <c r="W17" s="22" t="str">
        <f>_xlfn.LET(
_xlpm.H,Table1[[#This Row],[Thời hạn mới nhất (Date)]],
_xlpm.S,Table1[[#This Row],[Snapshot]],
IF(
    ISNUMBER(_xlpm.H),
    INT(_xlpm.H)-INT(_xlpm.S),
    "Không giao thời hạn"
))</f>
        <v>Không giao thời hạn</v>
      </c>
      <c r="X17" s="4" t="s">
        <v>613</v>
      </c>
      <c r="Y17" s="5"/>
      <c r="Z17" s="5" t="s">
        <v>35</v>
      </c>
      <c r="AA17" s="5"/>
      <c r="AB17" s="4" t="s">
        <v>50</v>
      </c>
      <c r="AC17" s="6"/>
      <c r="AD17" s="6"/>
      <c r="AE17" s="4">
        <v>0</v>
      </c>
      <c r="AF17" s="26" t="str">
        <f>_xlfn.LET(
_xlpm.H,Table1[[#This Row],[Thời hạn mới nhất (Date)]],
_xlpm.D,Table1[[#This Row],[Dự kiến mới nhất (Date)]],
IF(
NOT(ISNUMBER(_xlpm.H)),"Không giao thời hạn",
IF(
NOT(ISNUMBER(_xlpm.D)),"Chưa có dự kiến",
_xlpm.D-_xlpm.H
)))</f>
        <v>Không giao thời hạn</v>
      </c>
    </row>
    <row r="18" spans="1:32" ht="160.30000000000001" x14ac:dyDescent="0.4">
      <c r="A18" s="44">
        <v>46282</v>
      </c>
      <c r="B18" s="4" t="s">
        <v>730</v>
      </c>
      <c r="C18" s="5" t="s">
        <v>688</v>
      </c>
      <c r="D18" s="5">
        <v>29</v>
      </c>
      <c r="E18" s="5" t="str">
        <f>_xlfn.TEXTJOIN("+",TRUE,Table1[[#This Row],[Snapshot]:[ID]])</f>
        <v>46282+DIR-0D4D099A90EB</v>
      </c>
      <c r="F18" s="5"/>
      <c r="G18" s="5" t="s">
        <v>1738</v>
      </c>
      <c r="H18" s="20" t="s">
        <v>1739</v>
      </c>
      <c r="I18" s="5" t="s">
        <v>101</v>
      </c>
      <c r="J18" s="4" t="s">
        <v>689</v>
      </c>
      <c r="K18" s="4" t="str" cm="1">
        <f t="array" ref="K1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27. Booth Đa năng và Kênh Bán hàng Lưu động</v>
      </c>
      <c r="L18" s="4" t="s">
        <v>688</v>
      </c>
      <c r="M18" s="4" t="s">
        <v>731</v>
      </c>
      <c r="N18" s="4" t="s">
        <v>1696</v>
      </c>
      <c r="O18" s="4" t="s">
        <v>65</v>
      </c>
      <c r="P18" s="6">
        <v>46216</v>
      </c>
      <c r="Q18" s="6">
        <v>46216</v>
      </c>
      <c r="R18" s="5">
        <v>1</v>
      </c>
      <c r="S18" s="5" t="s">
        <v>732</v>
      </c>
      <c r="T18" s="13">
        <v>46223</v>
      </c>
      <c r="U18" s="13">
        <v>46223</v>
      </c>
      <c r="V18" s="5">
        <v>0</v>
      </c>
      <c r="W18" s="22">
        <f>_xlfn.LET(
_xlpm.H,Table1[[#This Row],[Thời hạn mới nhất (Date)]],
_xlpm.S,Table1[[#This Row],[Snapshot]],
IF(
    ISNUMBER(_xlpm.H),
    INT(_xlpm.H)-INT(_xlpm.S),
    "Không giao thời hạn"
))</f>
        <v>-59</v>
      </c>
      <c r="X18" s="4" t="s">
        <v>971</v>
      </c>
      <c r="Y18" s="5"/>
      <c r="Z18" s="5"/>
      <c r="AA18" s="5" t="s">
        <v>35</v>
      </c>
      <c r="AB18" s="4" t="s">
        <v>725</v>
      </c>
      <c r="AC18" s="6">
        <v>46295</v>
      </c>
      <c r="AD18" s="6">
        <v>46295</v>
      </c>
      <c r="AE18" s="4">
        <v>0</v>
      </c>
      <c r="AF18" s="26">
        <f>_xlfn.LET(
_xlpm.H,Table1[[#This Row],[Thời hạn mới nhất (Date)]],
_xlpm.D,Table1[[#This Row],[Dự kiến mới nhất (Date)]],
IF(
NOT(ISNUMBER(_xlpm.H)),"Không giao thời hạn",
IF(
NOT(ISNUMBER(_xlpm.D)),"Chưa có dự kiến",
_xlpm.D-_xlpm.H
)))</f>
        <v>72</v>
      </c>
    </row>
    <row r="19" spans="1:32" ht="145.75" x14ac:dyDescent="0.4">
      <c r="A19" s="44">
        <v>46275</v>
      </c>
      <c r="B19" s="4" t="s">
        <v>730</v>
      </c>
      <c r="C19" s="5" t="s">
        <v>688</v>
      </c>
      <c r="D19" s="5">
        <v>29</v>
      </c>
      <c r="E19" s="5" t="str">
        <f>_xlfn.TEXTJOIN("+",TRUE,Table1[[#This Row],[Snapshot]:[ID]])</f>
        <v>46275+DIR-0D4D099A90EB</v>
      </c>
      <c r="F19" s="5"/>
      <c r="G19" s="5" t="s">
        <v>1740</v>
      </c>
      <c r="H19" s="20" t="s">
        <v>1741</v>
      </c>
      <c r="I19" s="5" t="s">
        <v>101</v>
      </c>
      <c r="J19" s="4" t="s">
        <v>689</v>
      </c>
      <c r="K19" s="4" t="str" cm="1">
        <f t="array" ref="K1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27. Booth Đa năng và Kênh Bán hàng Lưu động</v>
      </c>
      <c r="L19" s="4" t="s">
        <v>688</v>
      </c>
      <c r="M19" s="4" t="s">
        <v>731</v>
      </c>
      <c r="N19" s="4" t="s">
        <v>1696</v>
      </c>
      <c r="O19" s="4" t="s">
        <v>65</v>
      </c>
      <c r="P19" s="6">
        <v>46216</v>
      </c>
      <c r="Q19" s="6">
        <v>46216</v>
      </c>
      <c r="R19" s="5">
        <v>1</v>
      </c>
      <c r="S19" s="5" t="s">
        <v>732</v>
      </c>
      <c r="T19" s="13">
        <v>46223</v>
      </c>
      <c r="U19" s="13">
        <v>46223</v>
      </c>
      <c r="V19" s="5">
        <v>0</v>
      </c>
      <c r="W19" s="22">
        <f>_xlfn.LET(
_xlpm.H,Table1[[#This Row],[Thời hạn mới nhất (Date)]],
_xlpm.S,Table1[[#This Row],[Snapshot]],
IF(
    ISNUMBER(_xlpm.H),
    INT(_xlpm.H)-INT(_xlpm.S),
    "Không giao thời hạn"
))</f>
        <v>-52</v>
      </c>
      <c r="X19" s="4" t="s">
        <v>733</v>
      </c>
      <c r="Y19" s="5"/>
      <c r="Z19" s="5"/>
      <c r="AA19" s="5" t="s">
        <v>35</v>
      </c>
      <c r="AB19" s="4" t="s">
        <v>725</v>
      </c>
      <c r="AC19" s="6">
        <v>46295</v>
      </c>
      <c r="AD19" s="6">
        <v>46295</v>
      </c>
      <c r="AE19" s="4">
        <v>0</v>
      </c>
      <c r="AF19" s="26">
        <f>_xlfn.LET(
_xlpm.H,Table1[[#This Row],[Thời hạn mới nhất (Date)]],
_xlpm.D,Table1[[#This Row],[Dự kiến mới nhất (Date)]],
IF(
NOT(ISNUMBER(_xlpm.H)),"Không giao thời hạn",
IF(
NOT(ISNUMBER(_xlpm.D)),"Chưa có dự kiến",
_xlpm.D-_xlpm.H
)))</f>
        <v>72</v>
      </c>
    </row>
    <row r="20" spans="1:32" ht="145.75" x14ac:dyDescent="0.4">
      <c r="A20" s="44">
        <v>46282</v>
      </c>
      <c r="B20" s="4" t="s">
        <v>340</v>
      </c>
      <c r="C20" s="5" t="s">
        <v>297</v>
      </c>
      <c r="D20" s="5">
        <v>27</v>
      </c>
      <c r="E20" s="5" t="str">
        <f>_xlfn.TEXTJOIN("+",TRUE,Table1[[#This Row],[Snapshot]:[ID]])</f>
        <v>46282+DIR-0D4FCEF49E9F</v>
      </c>
      <c r="F20" s="5"/>
      <c r="G20" s="5" t="s">
        <v>1742</v>
      </c>
      <c r="H20" s="20" t="s">
        <v>1743</v>
      </c>
      <c r="I20" s="5" t="s">
        <v>45</v>
      </c>
      <c r="J20" s="4" t="s">
        <v>200</v>
      </c>
      <c r="K20" s="4" t="str" cm="1">
        <f t="array" ref="K2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0" s="4" t="s">
        <v>297</v>
      </c>
      <c r="M20" s="4" t="s">
        <v>341</v>
      </c>
      <c r="N20" s="4" t="s">
        <v>1701</v>
      </c>
      <c r="O20" s="4" t="s">
        <v>160</v>
      </c>
      <c r="P20" s="6">
        <v>46214</v>
      </c>
      <c r="Q20" s="6">
        <v>46214</v>
      </c>
      <c r="R20" s="5">
        <v>1</v>
      </c>
      <c r="S20" s="5"/>
      <c r="T20" s="13"/>
      <c r="U20" s="13"/>
      <c r="V20" s="5">
        <v>0</v>
      </c>
      <c r="W20" s="22" t="str">
        <f>_xlfn.LET(
_xlpm.H,Table1[[#This Row],[Thời hạn mới nhất (Date)]],
_xlpm.S,Table1[[#This Row],[Snapshot]],
IF(
    ISNUMBER(_xlpm.H),
    INT(_xlpm.H)-INT(_xlpm.S),
    "Không giao thời hạn"
))</f>
        <v>Không giao thời hạn</v>
      </c>
      <c r="X20" s="4" t="s">
        <v>342</v>
      </c>
      <c r="Y20" s="5"/>
      <c r="Z20" s="5" t="s">
        <v>35</v>
      </c>
      <c r="AA20" s="5"/>
      <c r="AB20" s="4" t="s">
        <v>50</v>
      </c>
      <c r="AC20" s="6"/>
      <c r="AD20" s="6"/>
      <c r="AE20" s="4">
        <v>0</v>
      </c>
      <c r="AF20" s="26" t="str">
        <f>_xlfn.LET(
_xlpm.H,Table1[[#This Row],[Thời hạn mới nhất (Date)]],
_xlpm.D,Table1[[#This Row],[Dự kiến mới nhất (Date)]],
IF(
NOT(ISNUMBER(_xlpm.H)),"Không giao thời hạn",
IF(
NOT(ISNUMBER(_xlpm.D)),"Chưa có dự kiến",
_xlpm.D-_xlpm.H
)))</f>
        <v>Không giao thời hạn</v>
      </c>
    </row>
    <row r="21" spans="1:32" ht="166.75" customHeight="1" x14ac:dyDescent="0.4">
      <c r="A21" s="44">
        <v>46275</v>
      </c>
      <c r="B21" s="4" t="s">
        <v>340</v>
      </c>
      <c r="C21" s="5" t="s">
        <v>297</v>
      </c>
      <c r="D21" s="5">
        <v>25</v>
      </c>
      <c r="E21" s="5" t="str">
        <f>_xlfn.TEXTJOIN("+",TRUE,Table1[[#This Row],[Snapshot]:[ID]])</f>
        <v>46275+DIR-0D4FCEF49E9F</v>
      </c>
      <c r="F21" s="5"/>
      <c r="G21" s="5" t="s">
        <v>1742</v>
      </c>
      <c r="H21" s="20" t="s">
        <v>1743</v>
      </c>
      <c r="I21" s="5" t="s">
        <v>45</v>
      </c>
      <c r="J21" s="4" t="s">
        <v>200</v>
      </c>
      <c r="K21" s="4" t="str" cm="1">
        <f t="array" ref="K2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1" s="4" t="s">
        <v>297</v>
      </c>
      <c r="M21" s="4" t="s">
        <v>341</v>
      </c>
      <c r="N21" s="4" t="s">
        <v>1701</v>
      </c>
      <c r="O21" s="4" t="s">
        <v>160</v>
      </c>
      <c r="P21" s="6">
        <v>46214</v>
      </c>
      <c r="Q21" s="6">
        <v>46214</v>
      </c>
      <c r="R21" s="5">
        <v>1</v>
      </c>
      <c r="S21" s="5"/>
      <c r="T21" s="13"/>
      <c r="U21" s="13"/>
      <c r="V21" s="5">
        <v>0</v>
      </c>
      <c r="W21" s="22" t="str">
        <f>_xlfn.LET(
_xlpm.H,Table1[[#This Row],[Thời hạn mới nhất (Date)]],
_xlpm.S,Table1[[#This Row],[Snapshot]],
IF(
    ISNUMBER(_xlpm.H),
    INT(_xlpm.H)-INT(_xlpm.S),
    "Không giao thời hạn"
))</f>
        <v>Không giao thời hạn</v>
      </c>
      <c r="X21" s="4" t="s">
        <v>342</v>
      </c>
      <c r="Y21" s="5"/>
      <c r="Z21" s="5" t="s">
        <v>35</v>
      </c>
      <c r="AA21" s="5"/>
      <c r="AB21" s="4" t="s">
        <v>50</v>
      </c>
      <c r="AC21" s="6"/>
      <c r="AD21" s="6"/>
      <c r="AE21" s="4">
        <v>0</v>
      </c>
      <c r="AF21" s="26" t="str">
        <f>_xlfn.LET(
_xlpm.H,Table1[[#This Row],[Thời hạn mới nhất (Date)]],
_xlpm.D,Table1[[#This Row],[Dự kiến mới nhất (Date)]],
IF(
NOT(ISNUMBER(_xlpm.H)),"Không giao thời hạn",
IF(
NOT(ISNUMBER(_xlpm.D)),"Chưa có dự kiến",
_xlpm.D-_xlpm.H
)))</f>
        <v>Không giao thời hạn</v>
      </c>
    </row>
    <row r="22" spans="1:32" ht="167.6" customHeight="1" x14ac:dyDescent="0.4">
      <c r="A22" s="44">
        <v>46282</v>
      </c>
      <c r="B22" s="4" t="s">
        <v>360</v>
      </c>
      <c r="C22" s="5" t="s">
        <v>352</v>
      </c>
      <c r="D22" s="5">
        <v>15</v>
      </c>
      <c r="E22" s="5" t="str">
        <f>_xlfn.TEXTJOIN("+",TRUE,Table1[[#This Row],[Snapshot]:[ID]])</f>
        <v>46282+DIR-0E926556AF7F</v>
      </c>
      <c r="F22" s="5"/>
      <c r="G22" s="5" t="s">
        <v>1384</v>
      </c>
      <c r="H22" s="20" t="s">
        <v>1385</v>
      </c>
      <c r="I22" s="5" t="s">
        <v>57</v>
      </c>
      <c r="J22" s="4" t="s">
        <v>30</v>
      </c>
      <c r="K22" s="4" t="str" cm="1">
        <f t="array" ref="K2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22" s="4" t="s">
        <v>352</v>
      </c>
      <c r="M22" s="4" t="s">
        <v>361</v>
      </c>
      <c r="N22" s="4" t="s">
        <v>1702</v>
      </c>
      <c r="O22" s="4" t="s">
        <v>275</v>
      </c>
      <c r="P22" s="6">
        <v>46256</v>
      </c>
      <c r="Q22" s="6">
        <v>46256</v>
      </c>
      <c r="R22" s="5">
        <v>1</v>
      </c>
      <c r="S22" s="5"/>
      <c r="T22" s="13"/>
      <c r="U22" s="13"/>
      <c r="V22" s="5">
        <v>0</v>
      </c>
      <c r="W22" s="22" t="str">
        <f>_xlfn.LET(
_xlpm.H,Table1[[#This Row],[Thời hạn mới nhất (Date)]],
_xlpm.S,Table1[[#This Row],[Snapshot]],
IF(
    ISNUMBER(_xlpm.H),
    INT(_xlpm.H)-INT(_xlpm.S),
    "Không giao thời hạn"
))</f>
        <v>Không giao thời hạn</v>
      </c>
      <c r="X22" s="4" t="s">
        <v>362</v>
      </c>
      <c r="Y22" s="5"/>
      <c r="Z22" s="5" t="s">
        <v>35</v>
      </c>
      <c r="AA22" s="5"/>
      <c r="AB22" s="4" t="s">
        <v>363</v>
      </c>
      <c r="AC22" s="6">
        <v>46326</v>
      </c>
      <c r="AD22" s="6">
        <v>46326</v>
      </c>
      <c r="AE22" s="4">
        <v>0</v>
      </c>
      <c r="AF22" s="26" t="str">
        <f>_xlfn.LET(
_xlpm.H,Table1[[#This Row],[Thời hạn mới nhất (Date)]],
_xlpm.D,Table1[[#This Row],[Dự kiến mới nhất (Date)]],
IF(
NOT(ISNUMBER(_xlpm.H)),"Không giao thời hạn",
IF(
NOT(ISNUMBER(_xlpm.D)),"Chưa có dự kiến",
_xlpm.D-_xlpm.H
)))</f>
        <v>Không giao thời hạn</v>
      </c>
    </row>
    <row r="23" spans="1:32" ht="160.30000000000001" x14ac:dyDescent="0.4">
      <c r="A23" s="44">
        <v>46275</v>
      </c>
      <c r="B23" s="4" t="s">
        <v>360</v>
      </c>
      <c r="C23" s="5" t="s">
        <v>352</v>
      </c>
      <c r="D23" s="5">
        <v>15</v>
      </c>
      <c r="E23" s="5" t="str">
        <f>_xlfn.TEXTJOIN("+",TRUE,Table1[[#This Row],[Snapshot]:[ID]])</f>
        <v>46275+DIR-0E926556AF7F</v>
      </c>
      <c r="F23" s="5"/>
      <c r="G23" s="5" t="s">
        <v>1384</v>
      </c>
      <c r="H23" s="20" t="s">
        <v>1385</v>
      </c>
      <c r="I23" s="5" t="s">
        <v>57</v>
      </c>
      <c r="J23" s="4" t="s">
        <v>30</v>
      </c>
      <c r="K23" s="4" t="str" cm="1">
        <f t="array" ref="K2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23" s="4" t="s">
        <v>352</v>
      </c>
      <c r="M23" s="4" t="s">
        <v>361</v>
      </c>
      <c r="N23" s="4" t="s">
        <v>1702</v>
      </c>
      <c r="O23" s="4" t="s">
        <v>275</v>
      </c>
      <c r="P23" s="6">
        <v>46256</v>
      </c>
      <c r="Q23" s="6">
        <v>46256</v>
      </c>
      <c r="R23" s="5">
        <v>1</v>
      </c>
      <c r="S23" s="5"/>
      <c r="T23" s="13"/>
      <c r="U23" s="13"/>
      <c r="V23" s="5">
        <v>0</v>
      </c>
      <c r="W23" s="22" t="str">
        <f>_xlfn.LET(
_xlpm.H,Table1[[#This Row],[Thời hạn mới nhất (Date)]],
_xlpm.S,Table1[[#This Row],[Snapshot]],
IF(
    ISNUMBER(_xlpm.H),
    INT(_xlpm.H)-INT(_xlpm.S),
    "Không giao thời hạn"
))</f>
        <v>Không giao thời hạn</v>
      </c>
      <c r="X23" s="4" t="s">
        <v>362</v>
      </c>
      <c r="Y23" s="5"/>
      <c r="Z23" s="5" t="s">
        <v>35</v>
      </c>
      <c r="AA23" s="5"/>
      <c r="AB23" s="4" t="s">
        <v>363</v>
      </c>
      <c r="AC23" s="6">
        <v>46326</v>
      </c>
      <c r="AD23" s="6">
        <v>46326</v>
      </c>
      <c r="AE23" s="4">
        <v>0</v>
      </c>
      <c r="AF23" s="26" t="str">
        <f>_xlfn.LET(
_xlpm.H,Table1[[#This Row],[Thời hạn mới nhất (Date)]],
_xlpm.D,Table1[[#This Row],[Dự kiến mới nhất (Date)]],
IF(
NOT(ISNUMBER(_xlpm.H)),"Không giao thời hạn",
IF(
NOT(ISNUMBER(_xlpm.D)),"Chưa có dự kiến",
_xlpm.D-_xlpm.H
)))</f>
        <v>Không giao thời hạn</v>
      </c>
    </row>
    <row r="24" spans="1:32" ht="102" x14ac:dyDescent="0.4">
      <c r="A24" s="44">
        <v>46282</v>
      </c>
      <c r="B24" s="4" t="s">
        <v>792</v>
      </c>
      <c r="C24" s="5" t="s">
        <v>688</v>
      </c>
      <c r="D24" s="5">
        <v>48</v>
      </c>
      <c r="E24" s="5" t="str">
        <f>_xlfn.TEXTJOIN("+",TRUE,Table1[[#This Row],[Snapshot]:[ID]])</f>
        <v>46282+DIR-0EAFE0A2D90A</v>
      </c>
      <c r="F24" s="5"/>
      <c r="G24" s="5" t="s">
        <v>1358</v>
      </c>
      <c r="H24" s="20" t="s">
        <v>1359</v>
      </c>
      <c r="I24" s="5" t="s">
        <v>790</v>
      </c>
      <c r="J24" s="4" t="s">
        <v>689</v>
      </c>
      <c r="K24" s="4" t="str" cm="1">
        <f t="array" ref="K2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37. Sở hữu trí tuệ, Bản quyền và Bảo hộ Thương hiệu</v>
      </c>
      <c r="L24" s="4" t="s">
        <v>688</v>
      </c>
      <c r="M24" s="4" t="s">
        <v>794</v>
      </c>
      <c r="N24" s="4" t="s">
        <v>1696</v>
      </c>
      <c r="O24" s="4" t="s">
        <v>275</v>
      </c>
      <c r="P24" s="6">
        <v>46256</v>
      </c>
      <c r="Q24" s="6">
        <v>46256</v>
      </c>
      <c r="R24" s="5">
        <v>1</v>
      </c>
      <c r="S24" s="5"/>
      <c r="T24" s="13"/>
      <c r="U24" s="13"/>
      <c r="V24" s="5">
        <v>0</v>
      </c>
      <c r="W24" s="22" t="str">
        <f>_xlfn.LET(
_xlpm.H,Table1[[#This Row],[Thời hạn mới nhất (Date)]],
_xlpm.S,Table1[[#This Row],[Snapshot]],
IF(
    ISNUMBER(_xlpm.H),
    INT(_xlpm.H)-INT(_xlpm.S),
    "Không giao thời hạn"
))</f>
        <v>Không giao thời hạn</v>
      </c>
      <c r="X24" s="4" t="s">
        <v>795</v>
      </c>
      <c r="Y24" s="5"/>
      <c r="Z24" s="5" t="s">
        <v>35</v>
      </c>
      <c r="AA24" s="5"/>
      <c r="AB24" s="4"/>
      <c r="AC24" s="6"/>
      <c r="AD24" s="6"/>
      <c r="AE24" s="4">
        <v>0</v>
      </c>
      <c r="AF24" s="26" t="str">
        <f>_xlfn.LET(
_xlpm.H,Table1[[#This Row],[Thời hạn mới nhất (Date)]],
_xlpm.D,Table1[[#This Row],[Dự kiến mới nhất (Date)]],
IF(
NOT(ISNUMBER(_xlpm.H)),"Không giao thời hạn",
IF(
NOT(ISNUMBER(_xlpm.D)),"Chưa có dự kiến",
_xlpm.D-_xlpm.H
)))</f>
        <v>Không giao thời hạn</v>
      </c>
    </row>
    <row r="25" spans="1:32" ht="102" x14ac:dyDescent="0.4">
      <c r="A25" s="44">
        <v>46275</v>
      </c>
      <c r="B25" s="4" t="s">
        <v>792</v>
      </c>
      <c r="C25" s="5" t="s">
        <v>688</v>
      </c>
      <c r="D25" s="5">
        <v>49</v>
      </c>
      <c r="E25" s="5" t="str">
        <f>_xlfn.TEXTJOIN("+",TRUE,Table1[[#This Row],[Snapshot]:[ID]])</f>
        <v>46275+DIR-0EAFE0A2D90A</v>
      </c>
      <c r="F25" s="5"/>
      <c r="G25" s="5" t="s">
        <v>1358</v>
      </c>
      <c r="H25" s="20" t="s">
        <v>1359</v>
      </c>
      <c r="I25" s="5" t="s">
        <v>793</v>
      </c>
      <c r="J25" s="4" t="s">
        <v>689</v>
      </c>
      <c r="K25" s="4" t="str" cm="1">
        <f t="array" ref="K2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37. Sở hữu trí tuệ, Bản quyền và Bảo hộ Thương hiệu</v>
      </c>
      <c r="L25" s="4" t="s">
        <v>688</v>
      </c>
      <c r="M25" s="4" t="s">
        <v>794</v>
      </c>
      <c r="N25" s="4" t="s">
        <v>1696</v>
      </c>
      <c r="O25" s="4" t="s">
        <v>275</v>
      </c>
      <c r="P25" s="6">
        <v>46256</v>
      </c>
      <c r="Q25" s="6">
        <v>46256</v>
      </c>
      <c r="R25" s="5">
        <v>1</v>
      </c>
      <c r="S25" s="5"/>
      <c r="T25" s="13"/>
      <c r="U25" s="13"/>
      <c r="V25" s="5">
        <v>0</v>
      </c>
      <c r="W25" s="22" t="str">
        <f>_xlfn.LET(
_xlpm.H,Table1[[#This Row],[Thời hạn mới nhất (Date)]],
_xlpm.S,Table1[[#This Row],[Snapshot]],
IF(
    ISNUMBER(_xlpm.H),
    INT(_xlpm.H)-INT(_xlpm.S),
    "Không giao thời hạn"
))</f>
        <v>Không giao thời hạn</v>
      </c>
      <c r="X25" s="4" t="s">
        <v>795</v>
      </c>
      <c r="Y25" s="5"/>
      <c r="Z25" s="5" t="s">
        <v>35</v>
      </c>
      <c r="AA25" s="5"/>
      <c r="AB25" s="4"/>
      <c r="AC25" s="6"/>
      <c r="AD25" s="6"/>
      <c r="AE25" s="4">
        <v>0</v>
      </c>
      <c r="AF25" s="26" t="str">
        <f>_xlfn.LET(
_xlpm.H,Table1[[#This Row],[Thời hạn mới nhất (Date)]],
_xlpm.D,Table1[[#This Row],[Dự kiến mới nhất (Date)]],
IF(
NOT(ISNUMBER(_xlpm.H)),"Không giao thời hạn",
IF(
NOT(ISNUMBER(_xlpm.D)),"Chưa có dự kiến",
_xlpm.D-_xlpm.H
)))</f>
        <v>Không giao thời hạn</v>
      </c>
    </row>
    <row r="26" spans="1:32" ht="160.30000000000001" x14ac:dyDescent="0.4">
      <c r="A26" s="44">
        <v>46282</v>
      </c>
      <c r="B26" s="4" t="s">
        <v>92</v>
      </c>
      <c r="C26" s="5" t="s">
        <v>44</v>
      </c>
      <c r="D26" s="5">
        <v>22</v>
      </c>
      <c r="E26" s="5" t="str">
        <f>_xlfn.TEXTJOIN("+",TRUE,Table1[[#This Row],[Snapshot]:[ID]])</f>
        <v>46282+DIR-10224BA583FE</v>
      </c>
      <c r="F26" s="5"/>
      <c r="G26" s="5" t="s">
        <v>1744</v>
      </c>
      <c r="H26" s="20" t="s">
        <v>1745</v>
      </c>
      <c r="I26" s="5" t="s">
        <v>93</v>
      </c>
      <c r="J26" s="4" t="s">
        <v>30</v>
      </c>
      <c r="K26" s="4" t="str" cm="1">
        <f t="array" ref="K2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6" s="4" t="s">
        <v>44</v>
      </c>
      <c r="M26" s="4" t="s">
        <v>94</v>
      </c>
      <c r="N26" s="4" t="s">
        <v>1703</v>
      </c>
      <c r="O26" s="4" t="s">
        <v>71</v>
      </c>
      <c r="P26" s="6">
        <v>46235</v>
      </c>
      <c r="Q26" s="6">
        <v>46235</v>
      </c>
      <c r="R26" s="5">
        <v>1</v>
      </c>
      <c r="S26" s="5" t="s">
        <v>77</v>
      </c>
      <c r="T26" s="13">
        <v>46295</v>
      </c>
      <c r="U26" s="13">
        <v>46295</v>
      </c>
      <c r="V26" s="5">
        <v>0</v>
      </c>
      <c r="W26" s="22">
        <f>_xlfn.LET(
_xlpm.H,Table1[[#This Row],[Thời hạn mới nhất (Date)]],
_xlpm.S,Table1[[#This Row],[Snapshot]],
IF(
    ISNUMBER(_xlpm.H),
    INT(_xlpm.H)-INT(_xlpm.S),
    "Không giao thời hạn"
))</f>
        <v>13</v>
      </c>
      <c r="X26" s="4" t="s">
        <v>95</v>
      </c>
      <c r="Y26" s="5"/>
      <c r="Z26" s="5" t="s">
        <v>35</v>
      </c>
      <c r="AA26" s="5"/>
      <c r="AB26" s="4"/>
      <c r="AC26" s="6"/>
      <c r="AD26" s="6"/>
      <c r="AE26" s="4">
        <v>0</v>
      </c>
      <c r="AF26" s="26" t="str">
        <f>_xlfn.LET(
_xlpm.H,Table1[[#This Row],[Thời hạn mới nhất (Date)]],
_xlpm.D,Table1[[#This Row],[Dự kiến mới nhất (Date)]],
IF(
NOT(ISNUMBER(_xlpm.H)),"Không giao thời hạn",
IF(
NOT(ISNUMBER(_xlpm.D)),"Chưa có dự kiến",
_xlpm.D-_xlpm.H
)))</f>
        <v>Chưa có dự kiến</v>
      </c>
    </row>
    <row r="27" spans="1:32" ht="189.45" x14ac:dyDescent="0.4">
      <c r="A27" s="44">
        <v>46275</v>
      </c>
      <c r="B27" s="4" t="s">
        <v>92</v>
      </c>
      <c r="C27" s="5" t="s">
        <v>44</v>
      </c>
      <c r="D27" s="5">
        <v>22</v>
      </c>
      <c r="E27" s="5" t="str">
        <f>_xlfn.TEXTJOIN("+",TRUE,Table1[[#This Row],[Snapshot]:[ID]])</f>
        <v>46275+DIR-10224BA583FE</v>
      </c>
      <c r="F27" s="5"/>
      <c r="G27" s="5" t="s">
        <v>1746</v>
      </c>
      <c r="H27" s="20" t="s">
        <v>1747</v>
      </c>
      <c r="I27" s="5" t="s">
        <v>93</v>
      </c>
      <c r="J27" s="4" t="s">
        <v>30</v>
      </c>
      <c r="K27" s="4" t="str" cm="1">
        <f t="array" ref="K2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7" s="4" t="s">
        <v>44</v>
      </c>
      <c r="M27" s="4" t="s">
        <v>94</v>
      </c>
      <c r="N27" s="4" t="s">
        <v>1703</v>
      </c>
      <c r="O27" s="4" t="s">
        <v>71</v>
      </c>
      <c r="P27" s="6">
        <v>46235</v>
      </c>
      <c r="Q27" s="6">
        <v>46235</v>
      </c>
      <c r="R27" s="5">
        <v>1</v>
      </c>
      <c r="S27" s="5" t="s">
        <v>77</v>
      </c>
      <c r="T27" s="13">
        <v>46295</v>
      </c>
      <c r="U27" s="13">
        <v>46295</v>
      </c>
      <c r="V27" s="5">
        <v>0</v>
      </c>
      <c r="W27" s="22">
        <f>_xlfn.LET(
_xlpm.H,Table1[[#This Row],[Thời hạn mới nhất (Date)]],
_xlpm.S,Table1[[#This Row],[Snapshot]],
IF(
    ISNUMBER(_xlpm.H),
    INT(_xlpm.H)-INT(_xlpm.S),
    "Không giao thời hạn"
))</f>
        <v>20</v>
      </c>
      <c r="X27" s="4" t="s">
        <v>95</v>
      </c>
      <c r="Y27" s="5"/>
      <c r="Z27" s="5" t="s">
        <v>35</v>
      </c>
      <c r="AA27" s="5"/>
      <c r="AB27" s="4"/>
      <c r="AC27" s="6"/>
      <c r="AD27" s="6"/>
      <c r="AE27" s="4">
        <v>0</v>
      </c>
      <c r="AF27" s="26" t="str">
        <f>_xlfn.LET(
_xlpm.H,Table1[[#This Row],[Thời hạn mới nhất (Date)]],
_xlpm.D,Table1[[#This Row],[Dự kiến mới nhất (Date)]],
IF(
NOT(ISNUMBER(_xlpm.H)),"Không giao thời hạn",
IF(
NOT(ISNUMBER(_xlpm.D)),"Chưa có dự kiến",
_xlpm.D-_xlpm.H
)))</f>
        <v>Chưa có dự kiến</v>
      </c>
    </row>
    <row r="28" spans="1:32" ht="145.75" x14ac:dyDescent="0.4">
      <c r="A28" s="44">
        <v>46282</v>
      </c>
      <c r="B28" s="4" t="s">
        <v>761</v>
      </c>
      <c r="C28" s="5" t="s">
        <v>688</v>
      </c>
      <c r="D28" s="5">
        <v>40</v>
      </c>
      <c r="E28" s="5" t="str">
        <f>_xlfn.TEXTJOIN("+",TRUE,Table1[[#This Row],[Snapshot]:[ID]])</f>
        <v>46282+DIR-1054988CEC6D</v>
      </c>
      <c r="F28" s="5"/>
      <c r="G28" s="5" t="s">
        <v>1748</v>
      </c>
      <c r="H28" s="20" t="s">
        <v>1749</v>
      </c>
      <c r="I28" s="5" t="s">
        <v>158</v>
      </c>
      <c r="J28" s="4" t="s">
        <v>689</v>
      </c>
      <c r="K28" s="4" t="str" cm="1">
        <f t="array" ref="K2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28" s="4" t="s">
        <v>688</v>
      </c>
      <c r="M28" s="4" t="s">
        <v>98</v>
      </c>
      <c r="N28" s="4" t="s">
        <v>1696</v>
      </c>
      <c r="O28" s="4" t="s">
        <v>71</v>
      </c>
      <c r="P28" s="6">
        <v>46235</v>
      </c>
      <c r="Q28" s="6">
        <v>46235</v>
      </c>
      <c r="R28" s="5">
        <v>1</v>
      </c>
      <c r="S28" s="5" t="s">
        <v>77</v>
      </c>
      <c r="T28" s="13">
        <v>46295</v>
      </c>
      <c r="U28" s="13">
        <v>46295</v>
      </c>
      <c r="V28" s="5">
        <v>0</v>
      </c>
      <c r="W28" s="22">
        <f>_xlfn.LET(
_xlpm.H,Table1[[#This Row],[Thời hạn mới nhất (Date)]],
_xlpm.S,Table1[[#This Row],[Snapshot]],
IF(
    ISNUMBER(_xlpm.H),
    INT(_xlpm.H)-INT(_xlpm.S),
    "Không giao thời hạn"
))</f>
        <v>13</v>
      </c>
      <c r="X28" s="4" t="s">
        <v>762</v>
      </c>
      <c r="Y28" s="5"/>
      <c r="Z28" s="5" t="s">
        <v>35</v>
      </c>
      <c r="AA28" s="5"/>
      <c r="AB28" s="4" t="s">
        <v>77</v>
      </c>
      <c r="AC28" s="6">
        <v>46295</v>
      </c>
      <c r="AD28" s="6">
        <v>46295</v>
      </c>
      <c r="AE28" s="4">
        <v>0</v>
      </c>
      <c r="AF28" s="26">
        <f>_xlfn.LET(
_xlpm.H,Table1[[#This Row],[Thời hạn mới nhất (Date)]],
_xlpm.D,Table1[[#This Row],[Dự kiến mới nhất (Date)]],
IF(
NOT(ISNUMBER(_xlpm.H)),"Không giao thời hạn",
IF(
NOT(ISNUMBER(_xlpm.D)),"Chưa có dự kiến",
_xlpm.D-_xlpm.H
)))</f>
        <v>0</v>
      </c>
    </row>
    <row r="29" spans="1:32" ht="189.45" x14ac:dyDescent="0.4">
      <c r="A29" s="44">
        <v>46275</v>
      </c>
      <c r="B29" s="4" t="s">
        <v>761</v>
      </c>
      <c r="C29" s="5" t="s">
        <v>688</v>
      </c>
      <c r="D29" s="5">
        <v>40</v>
      </c>
      <c r="E29" s="5" t="str">
        <f>_xlfn.TEXTJOIN("+",TRUE,Table1[[#This Row],[Snapshot]:[ID]])</f>
        <v>46275+DIR-1054988CEC6D</v>
      </c>
      <c r="F29" s="5"/>
      <c r="G29" s="5" t="s">
        <v>1750</v>
      </c>
      <c r="H29" s="20" t="s">
        <v>1751</v>
      </c>
      <c r="I29" s="5" t="s">
        <v>158</v>
      </c>
      <c r="J29" s="4" t="s">
        <v>689</v>
      </c>
      <c r="K29" s="4" t="str" cm="1">
        <f t="array" ref="K2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29" s="4" t="s">
        <v>688</v>
      </c>
      <c r="M29" s="4" t="s">
        <v>98</v>
      </c>
      <c r="N29" s="4" t="s">
        <v>1696</v>
      </c>
      <c r="O29" s="4" t="s">
        <v>71</v>
      </c>
      <c r="P29" s="6">
        <v>46235</v>
      </c>
      <c r="Q29" s="6">
        <v>46235</v>
      </c>
      <c r="R29" s="5">
        <v>1</v>
      </c>
      <c r="S29" s="5" t="s">
        <v>77</v>
      </c>
      <c r="T29" s="13">
        <v>46295</v>
      </c>
      <c r="U29" s="13">
        <v>46295</v>
      </c>
      <c r="V29" s="5">
        <v>0</v>
      </c>
      <c r="W29" s="22">
        <f>_xlfn.LET(
_xlpm.H,Table1[[#This Row],[Thời hạn mới nhất (Date)]],
_xlpm.S,Table1[[#This Row],[Snapshot]],
IF(
    ISNUMBER(_xlpm.H),
    INT(_xlpm.H)-INT(_xlpm.S),
    "Không giao thời hạn"
))</f>
        <v>20</v>
      </c>
      <c r="X29" s="4" t="s">
        <v>762</v>
      </c>
      <c r="Y29" s="5"/>
      <c r="Z29" s="5" t="s">
        <v>35</v>
      </c>
      <c r="AA29" s="5"/>
      <c r="AB29" s="4" t="s">
        <v>77</v>
      </c>
      <c r="AC29" s="6">
        <v>46295</v>
      </c>
      <c r="AD29" s="6">
        <v>46295</v>
      </c>
      <c r="AE29" s="4">
        <v>0</v>
      </c>
      <c r="AF29" s="26">
        <f>_xlfn.LET(
_xlpm.H,Table1[[#This Row],[Thời hạn mới nhất (Date)]],
_xlpm.D,Table1[[#This Row],[Dự kiến mới nhất (Date)]],
IF(
NOT(ISNUMBER(_xlpm.H)),"Không giao thời hạn",
IF(
NOT(ISNUMBER(_xlpm.D)),"Chưa có dự kiến",
_xlpm.D-_xlpm.H
)))</f>
        <v>0</v>
      </c>
    </row>
    <row r="30" spans="1:32" ht="131.15" x14ac:dyDescent="0.4">
      <c r="A30" s="44">
        <v>46282</v>
      </c>
      <c r="B30" s="4" t="s">
        <v>405</v>
      </c>
      <c r="C30" s="5" t="s">
        <v>352</v>
      </c>
      <c r="D30" s="5">
        <v>26</v>
      </c>
      <c r="E30" s="5" t="str">
        <f>_xlfn.TEXTJOIN("+",TRUE,Table1[[#This Row],[Snapshot]:[ID]])</f>
        <v>46282+DIR-11BEEA03F35C</v>
      </c>
      <c r="F30" s="5"/>
      <c r="G30" s="20" t="s">
        <v>1238</v>
      </c>
      <c r="H30" s="20" t="s">
        <v>1239</v>
      </c>
      <c r="I30" s="5" t="s">
        <v>111</v>
      </c>
      <c r="J30" s="4" t="s">
        <v>30</v>
      </c>
      <c r="K30" s="4" t="str" cm="1">
        <f t="array" ref="K3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30" s="4" t="s">
        <v>352</v>
      </c>
      <c r="M30" s="4" t="s">
        <v>406</v>
      </c>
      <c r="N30" s="4" t="s">
        <v>1702</v>
      </c>
      <c r="O30" s="4" t="s">
        <v>59</v>
      </c>
      <c r="P30" s="6">
        <v>46158</v>
      </c>
      <c r="Q30" s="6">
        <v>46158</v>
      </c>
      <c r="R30" s="5">
        <v>1</v>
      </c>
      <c r="S30" s="5" t="s">
        <v>407</v>
      </c>
      <c r="T30" s="13">
        <v>46173</v>
      </c>
      <c r="U30" s="13">
        <v>46173</v>
      </c>
      <c r="V30" s="5">
        <v>0</v>
      </c>
      <c r="W30" s="22">
        <f>_xlfn.LET(
_xlpm.H,Table1[[#This Row],[Thời hạn mới nhất (Date)]],
_xlpm.S,Table1[[#This Row],[Snapshot]],
IF(
    ISNUMBER(_xlpm.H),
    INT(_xlpm.H)-INT(_xlpm.S),
    "Không giao thời hạn"
))</f>
        <v>-109</v>
      </c>
      <c r="X30" s="4" t="s">
        <v>408</v>
      </c>
      <c r="Y30" s="5"/>
      <c r="Z30" s="5" t="s">
        <v>35</v>
      </c>
      <c r="AA30" s="5"/>
      <c r="AB30" s="4"/>
      <c r="AC30" s="6"/>
      <c r="AD30" s="6"/>
      <c r="AE30" s="4">
        <v>0</v>
      </c>
      <c r="AF30" s="26" t="str">
        <f>_xlfn.LET(
_xlpm.H,Table1[[#This Row],[Thời hạn mới nhất (Date)]],
_xlpm.D,Table1[[#This Row],[Dự kiến mới nhất (Date)]],
IF(
NOT(ISNUMBER(_xlpm.H)),"Không giao thời hạn",
IF(
NOT(ISNUMBER(_xlpm.D)),"Chưa có dự kiến",
_xlpm.D-_xlpm.H
)))</f>
        <v>Chưa có dự kiến</v>
      </c>
    </row>
    <row r="31" spans="1:32" ht="131.15" x14ac:dyDescent="0.4">
      <c r="A31" s="44">
        <v>46275</v>
      </c>
      <c r="B31" s="4" t="s">
        <v>405</v>
      </c>
      <c r="C31" s="5" t="s">
        <v>352</v>
      </c>
      <c r="D31" s="5">
        <v>27</v>
      </c>
      <c r="E31" s="5" t="str">
        <f>_xlfn.TEXTJOIN("+",TRUE,Table1[[#This Row],[Snapshot]:[ID]])</f>
        <v>46275+DIR-11BEEA03F35C</v>
      </c>
      <c r="F31" s="5"/>
      <c r="G31" s="5" t="s">
        <v>1752</v>
      </c>
      <c r="H31" s="20" t="s">
        <v>1753</v>
      </c>
      <c r="I31" s="5" t="s">
        <v>115</v>
      </c>
      <c r="J31" s="4" t="s">
        <v>30</v>
      </c>
      <c r="K31" s="4" t="str" cm="1">
        <f t="array" ref="K3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31" s="4" t="s">
        <v>352</v>
      </c>
      <c r="M31" s="4" t="s">
        <v>406</v>
      </c>
      <c r="N31" s="4" t="s">
        <v>1702</v>
      </c>
      <c r="O31" s="4" t="s">
        <v>59</v>
      </c>
      <c r="P31" s="6">
        <v>46158</v>
      </c>
      <c r="Q31" s="6">
        <v>46158</v>
      </c>
      <c r="R31" s="5">
        <v>1</v>
      </c>
      <c r="S31" s="5" t="s">
        <v>407</v>
      </c>
      <c r="T31" s="13">
        <v>46173</v>
      </c>
      <c r="U31" s="13">
        <v>46173</v>
      </c>
      <c r="V31" s="5">
        <v>0</v>
      </c>
      <c r="W31" s="22">
        <f>_xlfn.LET(
_xlpm.H,Table1[[#This Row],[Thời hạn mới nhất (Date)]],
_xlpm.S,Table1[[#This Row],[Snapshot]],
IF(
    ISNUMBER(_xlpm.H),
    INT(_xlpm.H)-INT(_xlpm.S),
    "Không giao thời hạn"
))</f>
        <v>-102</v>
      </c>
      <c r="X31" s="4" t="s">
        <v>408</v>
      </c>
      <c r="Y31" s="5"/>
      <c r="Z31" s="5" t="s">
        <v>35</v>
      </c>
      <c r="AA31" s="5"/>
      <c r="AB31" s="4"/>
      <c r="AC31" s="6"/>
      <c r="AD31" s="6"/>
      <c r="AE31" s="4">
        <v>0</v>
      </c>
      <c r="AF31" s="26" t="str">
        <f>_xlfn.LET(
_xlpm.H,Table1[[#This Row],[Thời hạn mới nhất (Date)]],
_xlpm.D,Table1[[#This Row],[Dự kiến mới nhất (Date)]],
IF(
NOT(ISNUMBER(_xlpm.H)),"Không giao thời hạn",
IF(
NOT(ISNUMBER(_xlpm.D)),"Chưa có dự kiến",
_xlpm.D-_xlpm.H
)))</f>
        <v>Chưa có dự kiến</v>
      </c>
    </row>
    <row r="32" spans="1:32" ht="364.3" x14ac:dyDescent="0.4">
      <c r="A32" s="44">
        <v>46282</v>
      </c>
      <c r="B32" s="4" t="s">
        <v>440</v>
      </c>
      <c r="C32" s="5" t="s">
        <v>352</v>
      </c>
      <c r="D32" s="5">
        <v>36</v>
      </c>
      <c r="E32" s="5" t="str">
        <f>_xlfn.TEXTJOIN("+",TRUE,Table1[[#This Row],[Snapshot]:[ID]])</f>
        <v>46282+DIR-1312AC2E3F77</v>
      </c>
      <c r="F32" s="5"/>
      <c r="G32" s="5" t="s">
        <v>1754</v>
      </c>
      <c r="H32" s="20" t="s">
        <v>1755</v>
      </c>
      <c r="I32" s="5" t="s">
        <v>52</v>
      </c>
      <c r="J32" s="4" t="s">
        <v>200</v>
      </c>
      <c r="K32" s="4" t="str" cm="1">
        <f t="array" ref="K3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32" s="4" t="s">
        <v>352</v>
      </c>
      <c r="M32" s="4" t="s">
        <v>441</v>
      </c>
      <c r="N32" s="4" t="s">
        <v>1702</v>
      </c>
      <c r="O32" s="4" t="s">
        <v>442</v>
      </c>
      <c r="P32" s="6">
        <v>46032</v>
      </c>
      <c r="Q32" s="6">
        <v>46032</v>
      </c>
      <c r="R32" s="5">
        <v>1</v>
      </c>
      <c r="S32" s="5"/>
      <c r="T32" s="13"/>
      <c r="U32" s="13"/>
      <c r="V32" s="5">
        <v>0</v>
      </c>
      <c r="W32" s="22" t="str">
        <f>_xlfn.LET(
_xlpm.H,Table1[[#This Row],[Thời hạn mới nhất (Date)]],
_xlpm.S,Table1[[#This Row],[Snapshot]],
IF(
    ISNUMBER(_xlpm.H),
    INT(_xlpm.H)-INT(_xlpm.S),
    "Không giao thời hạn"
))</f>
        <v>Không giao thời hạn</v>
      </c>
      <c r="X32" s="4" t="s">
        <v>939</v>
      </c>
      <c r="Y32" s="5"/>
      <c r="Z32" s="5" t="s">
        <v>35</v>
      </c>
      <c r="AA32" s="5"/>
      <c r="AB32" s="4" t="s">
        <v>386</v>
      </c>
      <c r="AC32" s="6">
        <v>46387</v>
      </c>
      <c r="AD32" s="6">
        <v>46387</v>
      </c>
      <c r="AE32" s="4">
        <v>0</v>
      </c>
      <c r="AF32" s="26" t="str">
        <f>_xlfn.LET(
_xlpm.H,Table1[[#This Row],[Thời hạn mới nhất (Date)]],
_xlpm.D,Table1[[#This Row],[Dự kiến mới nhất (Date)]],
IF(
NOT(ISNUMBER(_xlpm.H)),"Không giao thời hạn",
IF(
NOT(ISNUMBER(_xlpm.D)),"Chưa có dự kiến",
_xlpm.D-_xlpm.H
)))</f>
        <v>Không giao thời hạn</v>
      </c>
    </row>
    <row r="33" spans="1:32" ht="378.9" x14ac:dyDescent="0.4">
      <c r="A33" s="44">
        <v>46275</v>
      </c>
      <c r="B33" s="4" t="s">
        <v>440</v>
      </c>
      <c r="C33" s="5" t="s">
        <v>352</v>
      </c>
      <c r="D33" s="5">
        <v>37</v>
      </c>
      <c r="E33" s="5" t="str">
        <f>_xlfn.TEXTJOIN("+",TRUE,Table1[[#This Row],[Snapshot]:[ID]])</f>
        <v>46275+DIR-1312AC2E3F77</v>
      </c>
      <c r="F33" s="5"/>
      <c r="G33" s="5" t="s">
        <v>1756</v>
      </c>
      <c r="H33" s="20" t="s">
        <v>1757</v>
      </c>
      <c r="I33" s="5" t="s">
        <v>52</v>
      </c>
      <c r="J33" s="4" t="s">
        <v>200</v>
      </c>
      <c r="K33" s="4" t="str" cm="1">
        <f t="array" ref="K3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33" s="4" t="s">
        <v>352</v>
      </c>
      <c r="M33" s="4" t="s">
        <v>441</v>
      </c>
      <c r="N33" s="4" t="s">
        <v>1702</v>
      </c>
      <c r="O33" s="4" t="s">
        <v>442</v>
      </c>
      <c r="P33" s="6">
        <v>46032</v>
      </c>
      <c r="Q33" s="6">
        <v>46032</v>
      </c>
      <c r="R33" s="5">
        <v>1</v>
      </c>
      <c r="S33" s="5"/>
      <c r="T33" s="13"/>
      <c r="U33" s="13"/>
      <c r="V33" s="5">
        <v>0</v>
      </c>
      <c r="W33" s="22" t="str">
        <f>_xlfn.LET(
_xlpm.H,Table1[[#This Row],[Thời hạn mới nhất (Date)]],
_xlpm.S,Table1[[#This Row],[Snapshot]],
IF(
    ISNUMBER(_xlpm.H),
    INT(_xlpm.H)-INT(_xlpm.S),
    "Không giao thời hạn"
))</f>
        <v>Không giao thời hạn</v>
      </c>
      <c r="X33" s="4" t="s">
        <v>443</v>
      </c>
      <c r="Y33" s="5"/>
      <c r="Z33" s="5" t="s">
        <v>35</v>
      </c>
      <c r="AA33" s="5"/>
      <c r="AB33" s="4" t="s">
        <v>386</v>
      </c>
      <c r="AC33" s="6">
        <v>46387</v>
      </c>
      <c r="AD33" s="6">
        <v>46387</v>
      </c>
      <c r="AE33" s="4">
        <v>0</v>
      </c>
      <c r="AF33" s="26" t="str">
        <f>_xlfn.LET(
_xlpm.H,Table1[[#This Row],[Thời hạn mới nhất (Date)]],
_xlpm.D,Table1[[#This Row],[Dự kiến mới nhất (Date)]],
IF(
NOT(ISNUMBER(_xlpm.H)),"Không giao thời hạn",
IF(
NOT(ISNUMBER(_xlpm.D)),"Chưa có dự kiến",
_xlpm.D-_xlpm.H
)))</f>
        <v>Không giao thời hạn</v>
      </c>
    </row>
    <row r="34" spans="1:32" ht="204" x14ac:dyDescent="0.4">
      <c r="A34" s="44">
        <v>46282</v>
      </c>
      <c r="B34" s="4" t="s">
        <v>927</v>
      </c>
      <c r="C34" s="5" t="s">
        <v>352</v>
      </c>
      <c r="D34" s="5">
        <v>20</v>
      </c>
      <c r="E34" s="5" t="str">
        <f>_xlfn.TEXTJOIN("+",TRUE,Table1[[#This Row],[Snapshot]:[ID]])</f>
        <v>46282+DIR-136D43BBB9C3</v>
      </c>
      <c r="F34" s="5"/>
      <c r="G34" s="5" t="s">
        <v>1758</v>
      </c>
      <c r="H34" s="20" t="s">
        <v>1759</v>
      </c>
      <c r="I34" s="5" t="s">
        <v>85</v>
      </c>
      <c r="J34" s="4" t="s">
        <v>30</v>
      </c>
      <c r="K34" s="4" t="str" cm="1">
        <f t="array" ref="K3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34" s="4" t="s">
        <v>352</v>
      </c>
      <c r="M34" s="4" t="s">
        <v>928</v>
      </c>
      <c r="N34" s="4" t="s">
        <v>1704</v>
      </c>
      <c r="O34" s="4" t="s">
        <v>906</v>
      </c>
      <c r="P34" s="6">
        <v>46277</v>
      </c>
      <c r="Q34" s="6">
        <v>46277</v>
      </c>
      <c r="R34" s="5">
        <v>1</v>
      </c>
      <c r="S34" s="5" t="s">
        <v>929</v>
      </c>
      <c r="T34" s="13">
        <v>46295</v>
      </c>
      <c r="U34" s="13">
        <v>46295</v>
      </c>
      <c r="V34" s="5">
        <v>0</v>
      </c>
      <c r="W34" s="22">
        <f>_xlfn.LET(
_xlpm.H,Table1[[#This Row],[Thời hạn mới nhất (Date)]],
_xlpm.S,Table1[[#This Row],[Snapshot]],
IF(
    ISNUMBER(_xlpm.H),
    INT(_xlpm.H)-INT(_xlpm.S),
    "Không giao thời hạn"
))</f>
        <v>13</v>
      </c>
      <c r="X34" s="4" t="s">
        <v>930</v>
      </c>
      <c r="Y34" s="5"/>
      <c r="Z34" s="5"/>
      <c r="AA34" s="5"/>
      <c r="AB34" s="4"/>
      <c r="AC34" s="6"/>
      <c r="AD34" s="6"/>
      <c r="AE34" s="4">
        <v>0</v>
      </c>
      <c r="AF34" s="26" t="str">
        <f>_xlfn.LET(
_xlpm.H,Table1[[#This Row],[Thời hạn mới nhất (Date)]],
_xlpm.D,Table1[[#This Row],[Dự kiến mới nhất (Date)]],
IF(
NOT(ISNUMBER(_xlpm.H)),"Không giao thời hạn",
IF(
NOT(ISNUMBER(_xlpm.D)),"Chưa có dự kiến",
_xlpm.D-_xlpm.H
)))</f>
        <v>Chưa có dự kiến</v>
      </c>
    </row>
    <row r="35" spans="1:32" ht="174.9" x14ac:dyDescent="0.4">
      <c r="A35" s="44">
        <v>46282</v>
      </c>
      <c r="B35" s="4" t="s">
        <v>256</v>
      </c>
      <c r="C35" s="5" t="s">
        <v>44</v>
      </c>
      <c r="D35" s="5">
        <v>59</v>
      </c>
      <c r="E35" s="5" t="str">
        <f>_xlfn.TEXTJOIN("+",TRUE,Table1[[#This Row],[Snapshot]:[ID]])</f>
        <v>46282+DIR-1379B1913790</v>
      </c>
      <c r="F35" s="5"/>
      <c r="G35" s="5" t="s">
        <v>1299</v>
      </c>
      <c r="H35" s="20" t="s">
        <v>1299</v>
      </c>
      <c r="I35" s="5" t="s">
        <v>69</v>
      </c>
      <c r="J35" s="4" t="s">
        <v>200</v>
      </c>
      <c r="K35" s="4" t="str" cm="1">
        <f t="array" ref="K3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03. Kiến trúc Công nghệ, Hạ tầng và Tài sản Phần mềm</v>
      </c>
      <c r="L35" s="4" t="s">
        <v>44</v>
      </c>
      <c r="M35" s="4" t="s">
        <v>257</v>
      </c>
      <c r="N35" s="4" t="s">
        <v>1705</v>
      </c>
      <c r="O35" s="4" t="s">
        <v>258</v>
      </c>
      <c r="P35" s="6">
        <v>46038</v>
      </c>
      <c r="Q35" s="6">
        <v>46038</v>
      </c>
      <c r="R35" s="5">
        <v>1</v>
      </c>
      <c r="S35" s="5"/>
      <c r="T35" s="13"/>
      <c r="U35" s="13"/>
      <c r="V35" s="5">
        <v>0</v>
      </c>
      <c r="W35" s="22" t="str">
        <f>_xlfn.LET(
_xlpm.H,Table1[[#This Row],[Thời hạn mới nhất (Date)]],
_xlpm.S,Table1[[#This Row],[Snapshot]],
IF(
    ISNUMBER(_xlpm.H),
    INT(_xlpm.H)-INT(_xlpm.S),
    "Không giao thời hạn"
))</f>
        <v>Không giao thời hạn</v>
      </c>
      <c r="X35" s="4" t="s">
        <v>259</v>
      </c>
      <c r="Y35" s="5"/>
      <c r="Z35" s="5" t="s">
        <v>35</v>
      </c>
      <c r="AA35" s="5"/>
      <c r="AB35" s="4" t="s">
        <v>260</v>
      </c>
      <c r="AC35" s="6"/>
      <c r="AD35" s="6"/>
      <c r="AE35" s="4">
        <v>0</v>
      </c>
      <c r="AF35" s="26" t="str">
        <f>_xlfn.LET(
_xlpm.H,Table1[[#This Row],[Thời hạn mới nhất (Date)]],
_xlpm.D,Table1[[#This Row],[Dự kiến mới nhất (Date)]],
IF(
NOT(ISNUMBER(_xlpm.H)),"Không giao thời hạn",
IF(
NOT(ISNUMBER(_xlpm.D)),"Chưa có dự kiến",
_xlpm.D-_xlpm.H
)))</f>
        <v>Không giao thời hạn</v>
      </c>
    </row>
    <row r="36" spans="1:32" ht="174.9" x14ac:dyDescent="0.4">
      <c r="A36" s="44">
        <v>46275</v>
      </c>
      <c r="B36" s="4" t="s">
        <v>256</v>
      </c>
      <c r="C36" s="5" t="s">
        <v>44</v>
      </c>
      <c r="D36" s="5">
        <v>60</v>
      </c>
      <c r="E36" s="5" t="str">
        <f>_xlfn.TEXTJOIN("+",TRUE,Table1[[#This Row],[Snapshot]:[ID]])</f>
        <v>46275+DIR-1379B1913790</v>
      </c>
      <c r="F36" s="5"/>
      <c r="G36" s="5" t="s">
        <v>1299</v>
      </c>
      <c r="H36" s="20" t="s">
        <v>1299</v>
      </c>
      <c r="I36" s="5" t="s">
        <v>69</v>
      </c>
      <c r="J36" s="4" t="s">
        <v>200</v>
      </c>
      <c r="K36" s="4" t="str" cm="1">
        <f t="array" ref="K3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03. Kiến trúc Công nghệ, Hạ tầng và Tài sản Phần mềm</v>
      </c>
      <c r="L36" s="4" t="s">
        <v>44</v>
      </c>
      <c r="M36" s="4" t="s">
        <v>257</v>
      </c>
      <c r="N36" s="4" t="s">
        <v>1705</v>
      </c>
      <c r="O36" s="4" t="s">
        <v>258</v>
      </c>
      <c r="P36" s="6">
        <v>46038</v>
      </c>
      <c r="Q36" s="6">
        <v>46038</v>
      </c>
      <c r="R36" s="5">
        <v>1</v>
      </c>
      <c r="S36" s="5"/>
      <c r="T36" s="13"/>
      <c r="U36" s="13"/>
      <c r="V36" s="5">
        <v>0</v>
      </c>
      <c r="W36" s="22" t="str">
        <f>_xlfn.LET(
_xlpm.H,Table1[[#This Row],[Thời hạn mới nhất (Date)]],
_xlpm.S,Table1[[#This Row],[Snapshot]],
IF(
    ISNUMBER(_xlpm.H),
    INT(_xlpm.H)-INT(_xlpm.S),
    "Không giao thời hạn"
))</f>
        <v>Không giao thời hạn</v>
      </c>
      <c r="X36" s="4" t="s">
        <v>259</v>
      </c>
      <c r="Y36" s="5"/>
      <c r="Z36" s="5" t="s">
        <v>35</v>
      </c>
      <c r="AA36" s="5"/>
      <c r="AB36" s="4" t="s">
        <v>260</v>
      </c>
      <c r="AC36" s="6"/>
      <c r="AD36" s="6"/>
      <c r="AE36" s="4">
        <v>0</v>
      </c>
      <c r="AF36" s="26" t="str">
        <f>_xlfn.LET(
_xlpm.H,Table1[[#This Row],[Thời hạn mới nhất (Date)]],
_xlpm.D,Table1[[#This Row],[Dự kiến mới nhất (Date)]],
IF(
NOT(ISNUMBER(_xlpm.H)),"Không giao thời hạn",
IF(
NOT(ISNUMBER(_xlpm.D)),"Chưa có dự kiến",
_xlpm.D-_xlpm.H
)))</f>
        <v>Không giao thời hạn</v>
      </c>
    </row>
    <row r="37" spans="1:32" ht="174.9" x14ac:dyDescent="0.4">
      <c r="A37" s="44">
        <v>46282</v>
      </c>
      <c r="B37" s="4" t="s">
        <v>162</v>
      </c>
      <c r="C37" s="5" t="s">
        <v>44</v>
      </c>
      <c r="D37" s="5">
        <v>40</v>
      </c>
      <c r="E37" s="5" t="str">
        <f>_xlfn.TEXTJOIN("+",TRUE,Table1[[#This Row],[Snapshot]:[ID]])</f>
        <v>46282+DIR-14C8A32FEC53</v>
      </c>
      <c r="F37" s="5"/>
      <c r="G37" s="5" t="s">
        <v>1299</v>
      </c>
      <c r="H37" s="20" t="s">
        <v>1299</v>
      </c>
      <c r="I37" s="5" t="s">
        <v>779</v>
      </c>
      <c r="J37" s="4" t="s">
        <v>30</v>
      </c>
      <c r="K37" s="4" t="str" cm="1">
        <f t="array" ref="K3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38. Bản quyền và License Phần mềm</v>
      </c>
      <c r="L37" s="4" t="s">
        <v>44</v>
      </c>
      <c r="M37" s="4" t="s">
        <v>164</v>
      </c>
      <c r="N37" s="4" t="s">
        <v>1706</v>
      </c>
      <c r="O37" s="4" t="s">
        <v>160</v>
      </c>
      <c r="P37" s="6">
        <v>46214</v>
      </c>
      <c r="Q37" s="6">
        <v>46214</v>
      </c>
      <c r="R37" s="5">
        <v>1</v>
      </c>
      <c r="S37" s="5" t="s">
        <v>165</v>
      </c>
      <c r="T37" s="13">
        <v>46234</v>
      </c>
      <c r="U37" s="13">
        <v>46234</v>
      </c>
      <c r="V37" s="5">
        <v>0</v>
      </c>
      <c r="W37" s="22">
        <f>_xlfn.LET(
_xlpm.H,Table1[[#This Row],[Thời hạn mới nhất (Date)]],
_xlpm.S,Table1[[#This Row],[Snapshot]],
IF(
    ISNUMBER(_xlpm.H),
    INT(_xlpm.H)-INT(_xlpm.S),
    "Không giao thời hạn"
))</f>
        <v>-48</v>
      </c>
      <c r="X37" s="4" t="s">
        <v>166</v>
      </c>
      <c r="Y37" s="5"/>
      <c r="Z37" s="5" t="s">
        <v>35</v>
      </c>
      <c r="AA37" s="5"/>
      <c r="AB37" s="4" t="s">
        <v>50</v>
      </c>
      <c r="AC37" s="6"/>
      <c r="AD37" s="6"/>
      <c r="AE37" s="4">
        <v>0</v>
      </c>
      <c r="AF37" s="26" t="str">
        <f>_xlfn.LET(
_xlpm.H,Table1[[#This Row],[Thời hạn mới nhất (Date)]],
_xlpm.D,Table1[[#This Row],[Dự kiến mới nhất (Date)]],
IF(
NOT(ISNUMBER(_xlpm.H)),"Không giao thời hạn",
IF(
NOT(ISNUMBER(_xlpm.D)),"Chưa có dự kiến",
_xlpm.D-_xlpm.H
)))</f>
        <v>Chưa có dự kiến</v>
      </c>
    </row>
    <row r="38" spans="1:32" ht="174.9" x14ac:dyDescent="0.4">
      <c r="A38" s="44">
        <v>46275</v>
      </c>
      <c r="B38" s="4" t="s">
        <v>162</v>
      </c>
      <c r="C38" s="5" t="s">
        <v>44</v>
      </c>
      <c r="D38" s="5">
        <v>36</v>
      </c>
      <c r="E38" s="5" t="str">
        <f>_xlfn.TEXTJOIN("+",TRUE,Table1[[#This Row],[Snapshot]:[ID]])</f>
        <v>46275+DIR-14C8A32FEC53</v>
      </c>
      <c r="F38" s="5"/>
      <c r="G38" s="5" t="s">
        <v>1299</v>
      </c>
      <c r="H38" s="20" t="s">
        <v>1299</v>
      </c>
      <c r="I38" s="5" t="s">
        <v>163</v>
      </c>
      <c r="J38" s="4" t="s">
        <v>30</v>
      </c>
      <c r="K38" s="4" t="str" cm="1">
        <f t="array" ref="K3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38. Bản quyền và License Phần mềm</v>
      </c>
      <c r="L38" s="4" t="s">
        <v>44</v>
      </c>
      <c r="M38" s="4" t="s">
        <v>164</v>
      </c>
      <c r="N38" s="4" t="s">
        <v>1706</v>
      </c>
      <c r="O38" s="4" t="s">
        <v>160</v>
      </c>
      <c r="P38" s="6">
        <v>46214</v>
      </c>
      <c r="Q38" s="6">
        <v>46214</v>
      </c>
      <c r="R38" s="5">
        <v>1</v>
      </c>
      <c r="S38" s="5" t="s">
        <v>165</v>
      </c>
      <c r="T38" s="13">
        <v>46234</v>
      </c>
      <c r="U38" s="13">
        <v>46234</v>
      </c>
      <c r="V38" s="5">
        <v>0</v>
      </c>
      <c r="W38" s="22">
        <f>_xlfn.LET(
_xlpm.H,Table1[[#This Row],[Thời hạn mới nhất (Date)]],
_xlpm.S,Table1[[#This Row],[Snapshot]],
IF(
    ISNUMBER(_xlpm.H),
    INT(_xlpm.H)-INT(_xlpm.S),
    "Không giao thời hạn"
))</f>
        <v>-41</v>
      </c>
      <c r="X38" s="4" t="s">
        <v>166</v>
      </c>
      <c r="Y38" s="5"/>
      <c r="Z38" s="5" t="s">
        <v>35</v>
      </c>
      <c r="AA38" s="5"/>
      <c r="AB38" s="4" t="s">
        <v>50</v>
      </c>
      <c r="AC38" s="6"/>
      <c r="AD38" s="6"/>
      <c r="AE38" s="4">
        <v>0</v>
      </c>
      <c r="AF38" s="26" t="str">
        <f>_xlfn.LET(
_xlpm.H,Table1[[#This Row],[Thời hạn mới nhất (Date)]],
_xlpm.D,Table1[[#This Row],[Dự kiến mới nhất (Date)]],
IF(
NOT(ISNUMBER(_xlpm.H)),"Không giao thời hạn",
IF(
NOT(ISNUMBER(_xlpm.D)),"Chưa có dự kiến",
_xlpm.D-_xlpm.H
)))</f>
        <v>Chưa có dự kiến</v>
      </c>
    </row>
    <row r="39" spans="1:32" ht="174.9" x14ac:dyDescent="0.4">
      <c r="A39" s="44">
        <v>46282</v>
      </c>
      <c r="B39" s="4" t="s">
        <v>1005</v>
      </c>
      <c r="C39" s="5" t="s">
        <v>888</v>
      </c>
      <c r="D39" s="5">
        <v>22</v>
      </c>
      <c r="E39" s="5" t="str">
        <f>_xlfn.TEXTJOIN("+",TRUE,Table1[[#This Row],[Snapshot]:[ID]])</f>
        <v>46282+DIR-159AF65FF45D</v>
      </c>
      <c r="F39" s="5"/>
      <c r="G39" s="5" t="s">
        <v>1760</v>
      </c>
      <c r="H39" s="20" t="s">
        <v>1761</v>
      </c>
      <c r="I39" s="5" t="s">
        <v>93</v>
      </c>
      <c r="J39" s="4" t="s">
        <v>30</v>
      </c>
      <c r="K39" s="4" t="str" cm="1">
        <f t="array" ref="K3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33. Đối ngoại và Công tác Quốc tế của Ban Lãnh đạo</v>
      </c>
      <c r="L39" s="4" t="s">
        <v>888</v>
      </c>
      <c r="M39" s="4" t="s">
        <v>1006</v>
      </c>
      <c r="N39" s="4" t="s">
        <v>1707</v>
      </c>
      <c r="O39" s="4" t="s">
        <v>906</v>
      </c>
      <c r="P39" s="6">
        <v>46277</v>
      </c>
      <c r="Q39" s="6">
        <v>46277</v>
      </c>
      <c r="R39" s="5">
        <v>1</v>
      </c>
      <c r="S39" s="5"/>
      <c r="T39" s="13"/>
      <c r="U39" s="13"/>
      <c r="V39" s="5">
        <v>0</v>
      </c>
      <c r="W39" s="22" t="str">
        <f>_xlfn.LET(
_xlpm.H,Table1[[#This Row],[Thời hạn mới nhất (Date)]],
_xlpm.S,Table1[[#This Row],[Snapshot]],
IF(
    ISNUMBER(_xlpm.H),
    INT(_xlpm.H)-INT(_xlpm.S),
    "Không giao thời hạn"
))</f>
        <v>Không giao thời hạn</v>
      </c>
      <c r="X39" s="4"/>
      <c r="Y39" s="5"/>
      <c r="Z39" s="5"/>
      <c r="AA39" s="5"/>
      <c r="AB39" s="4"/>
      <c r="AC39" s="6"/>
      <c r="AD39" s="6"/>
      <c r="AE39" s="4">
        <v>0</v>
      </c>
      <c r="AF39" s="26" t="str">
        <f>_xlfn.LET(
_xlpm.H,Table1[[#This Row],[Thời hạn mới nhất (Date)]],
_xlpm.D,Table1[[#This Row],[Dự kiến mới nhất (Date)]],
IF(
NOT(ISNUMBER(_xlpm.H)),"Không giao thời hạn",
IF(
NOT(ISNUMBER(_xlpm.D)),"Chưa có dự kiến",
_xlpm.D-_xlpm.H
)))</f>
        <v>Không giao thời hạn</v>
      </c>
    </row>
    <row r="40" spans="1:32" ht="145.75" x14ac:dyDescent="0.4">
      <c r="A40" s="44">
        <v>46282</v>
      </c>
      <c r="B40" s="4" t="s">
        <v>327</v>
      </c>
      <c r="C40" s="5" t="s">
        <v>297</v>
      </c>
      <c r="D40" s="5">
        <v>20</v>
      </c>
      <c r="E40" s="5" t="str">
        <f>_xlfn.TEXTJOIN("+",TRUE,Table1[[#This Row],[Snapshot]:[ID]])</f>
        <v>46282+DIR-16B73877F406</v>
      </c>
      <c r="F40" s="5"/>
      <c r="G40" s="5" t="s">
        <v>1762</v>
      </c>
      <c r="H40" s="20" t="s">
        <v>1763</v>
      </c>
      <c r="I40" s="5" t="s">
        <v>85</v>
      </c>
      <c r="J40" s="4" t="s">
        <v>30</v>
      </c>
      <c r="K40" s="4" t="str" cm="1">
        <f t="array" ref="K4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40" s="4" t="s">
        <v>297</v>
      </c>
      <c r="M40" s="4" t="s">
        <v>328</v>
      </c>
      <c r="N40" s="4" t="s">
        <v>1701</v>
      </c>
      <c r="O40" s="4" t="s">
        <v>71</v>
      </c>
      <c r="P40" s="6">
        <v>46235</v>
      </c>
      <c r="Q40" s="6">
        <v>46235</v>
      </c>
      <c r="R40" s="5">
        <v>1</v>
      </c>
      <c r="S40" s="5" t="s">
        <v>329</v>
      </c>
      <c r="T40" s="13">
        <v>46249</v>
      </c>
      <c r="U40" s="13">
        <v>46249</v>
      </c>
      <c r="V40" s="5">
        <v>0</v>
      </c>
      <c r="W40" s="22">
        <f>_xlfn.LET(
_xlpm.H,Table1[[#This Row],[Thời hạn mới nhất (Date)]],
_xlpm.S,Table1[[#This Row],[Snapshot]],
IF(
    ISNUMBER(_xlpm.H),
    INT(_xlpm.H)-INT(_xlpm.S),
    "Không giao thời hạn"
))</f>
        <v>-33</v>
      </c>
      <c r="X40" s="4" t="s">
        <v>322</v>
      </c>
      <c r="Y40" s="5"/>
      <c r="Z40" s="5" t="s">
        <v>35</v>
      </c>
      <c r="AA40" s="5"/>
      <c r="AB40" s="4" t="s">
        <v>301</v>
      </c>
      <c r="AC40" s="6">
        <v>46295</v>
      </c>
      <c r="AD40" s="6">
        <v>46295</v>
      </c>
      <c r="AE40" s="4">
        <v>0</v>
      </c>
      <c r="AF40" s="26">
        <f>_xlfn.LET(
_xlpm.H,Table1[[#This Row],[Thời hạn mới nhất (Date)]],
_xlpm.D,Table1[[#This Row],[Dự kiến mới nhất (Date)]],
IF(
NOT(ISNUMBER(_xlpm.H)),"Không giao thời hạn",
IF(
NOT(ISNUMBER(_xlpm.D)),"Chưa có dự kiến",
_xlpm.D-_xlpm.H
)))</f>
        <v>46</v>
      </c>
    </row>
    <row r="41" spans="1:32" ht="145.75" x14ac:dyDescent="0.4">
      <c r="A41" s="44">
        <v>46275</v>
      </c>
      <c r="B41" s="4" t="s">
        <v>327</v>
      </c>
      <c r="C41" s="5" t="s">
        <v>297</v>
      </c>
      <c r="D41" s="5">
        <v>20</v>
      </c>
      <c r="E41" s="5" t="str">
        <f>_xlfn.TEXTJOIN("+",TRUE,Table1[[#This Row],[Snapshot]:[ID]])</f>
        <v>46275+DIR-16B73877F406</v>
      </c>
      <c r="F41" s="5"/>
      <c r="G41" s="5" t="s">
        <v>1764</v>
      </c>
      <c r="H41" s="20" t="s">
        <v>1765</v>
      </c>
      <c r="I41" s="5" t="s">
        <v>85</v>
      </c>
      <c r="J41" s="4" t="s">
        <v>30</v>
      </c>
      <c r="K41" s="4" t="str" cm="1">
        <f t="array" ref="K4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41" s="4" t="s">
        <v>297</v>
      </c>
      <c r="M41" s="4" t="s">
        <v>328</v>
      </c>
      <c r="N41" s="4" t="s">
        <v>1701</v>
      </c>
      <c r="O41" s="4" t="s">
        <v>71</v>
      </c>
      <c r="P41" s="6">
        <v>46235</v>
      </c>
      <c r="Q41" s="6">
        <v>46235</v>
      </c>
      <c r="R41" s="5">
        <v>1</v>
      </c>
      <c r="S41" s="5" t="s">
        <v>329</v>
      </c>
      <c r="T41" s="13">
        <v>46249</v>
      </c>
      <c r="U41" s="13">
        <v>46249</v>
      </c>
      <c r="V41" s="5">
        <v>0</v>
      </c>
      <c r="W41" s="22">
        <f>_xlfn.LET(
_xlpm.H,Table1[[#This Row],[Thời hạn mới nhất (Date)]],
_xlpm.S,Table1[[#This Row],[Snapshot]],
IF(
    ISNUMBER(_xlpm.H),
    INT(_xlpm.H)-INT(_xlpm.S),
    "Không giao thời hạn"
))</f>
        <v>-26</v>
      </c>
      <c r="X41" s="4" t="s">
        <v>322</v>
      </c>
      <c r="Y41" s="5"/>
      <c r="Z41" s="5" t="s">
        <v>35</v>
      </c>
      <c r="AA41" s="5"/>
      <c r="AB41" s="4" t="s">
        <v>301</v>
      </c>
      <c r="AC41" s="6">
        <v>46295</v>
      </c>
      <c r="AD41" s="6">
        <v>46295</v>
      </c>
      <c r="AE41" s="4">
        <v>0</v>
      </c>
      <c r="AF41" s="26">
        <f>_xlfn.LET(
_xlpm.H,Table1[[#This Row],[Thời hạn mới nhất (Date)]],
_xlpm.D,Table1[[#This Row],[Dự kiến mới nhất (Date)]],
IF(
NOT(ISNUMBER(_xlpm.H)),"Không giao thời hạn",
IF(
NOT(ISNUMBER(_xlpm.D)),"Chưa có dự kiến",
_xlpm.D-_xlpm.H
)))</f>
        <v>46</v>
      </c>
    </row>
    <row r="42" spans="1:32" ht="116.6" x14ac:dyDescent="0.4">
      <c r="A42" s="44">
        <v>46282</v>
      </c>
      <c r="B42" s="4" t="s">
        <v>261</v>
      </c>
      <c r="C42" s="5" t="s">
        <v>44</v>
      </c>
      <c r="D42" s="5">
        <v>60</v>
      </c>
      <c r="E42" s="5" t="str">
        <f>_xlfn.TEXTJOIN("+",TRUE,Table1[[#This Row],[Snapshot]:[ID]])</f>
        <v>46282+DIR-17ED309CD1BF</v>
      </c>
      <c r="F42" s="5"/>
      <c r="G42" s="5" t="s">
        <v>1299</v>
      </c>
      <c r="H42" s="20" t="s">
        <v>1299</v>
      </c>
      <c r="I42" s="5" t="s">
        <v>75</v>
      </c>
      <c r="J42" s="4" t="s">
        <v>200</v>
      </c>
      <c r="K42" s="4" t="str" cm="1">
        <f t="array" ref="K4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35. Năng suất Làm việc và Công cụ Cộng tác Nội bộ</v>
      </c>
      <c r="L42" s="4" t="s">
        <v>44</v>
      </c>
      <c r="M42" s="4" t="s">
        <v>262</v>
      </c>
      <c r="N42" s="4" t="s">
        <v>1708</v>
      </c>
      <c r="O42" s="4" t="s">
        <v>263</v>
      </c>
      <c r="P42" s="6">
        <v>46118</v>
      </c>
      <c r="Q42" s="6">
        <v>46118</v>
      </c>
      <c r="R42" s="5">
        <v>1</v>
      </c>
      <c r="S42" s="5"/>
      <c r="T42" s="13"/>
      <c r="U42" s="13"/>
      <c r="V42" s="5">
        <v>0</v>
      </c>
      <c r="W42" s="22" t="str">
        <f>_xlfn.LET(
_xlpm.H,Table1[[#This Row],[Thời hạn mới nhất (Date)]],
_xlpm.S,Table1[[#This Row],[Snapshot]],
IF(
    ISNUMBER(_xlpm.H),
    INT(_xlpm.H)-INT(_xlpm.S),
    "Không giao thời hạn"
))</f>
        <v>Không giao thời hạn</v>
      </c>
      <c r="X42" s="4" t="s">
        <v>264</v>
      </c>
      <c r="Y42" s="5"/>
      <c r="Z42" s="5" t="s">
        <v>35</v>
      </c>
      <c r="AA42" s="5"/>
      <c r="AB42" s="4"/>
      <c r="AC42" s="6"/>
      <c r="AD42" s="6"/>
      <c r="AE42" s="4">
        <v>0</v>
      </c>
      <c r="AF42" s="26" t="str">
        <f>_xlfn.LET(
_xlpm.H,Table1[[#This Row],[Thời hạn mới nhất (Date)]],
_xlpm.D,Table1[[#This Row],[Dự kiến mới nhất (Date)]],
IF(
NOT(ISNUMBER(_xlpm.H)),"Không giao thời hạn",
IF(
NOT(ISNUMBER(_xlpm.D)),"Chưa có dự kiến",
_xlpm.D-_xlpm.H
)))</f>
        <v>Không giao thời hạn</v>
      </c>
    </row>
    <row r="43" spans="1:32" ht="116.6" x14ac:dyDescent="0.4">
      <c r="A43" s="44">
        <v>46275</v>
      </c>
      <c r="B43" s="4" t="s">
        <v>261</v>
      </c>
      <c r="C43" s="5" t="s">
        <v>44</v>
      </c>
      <c r="D43" s="5">
        <v>61</v>
      </c>
      <c r="E43" s="5" t="str">
        <f>_xlfn.TEXTJOIN("+",TRUE,Table1[[#This Row],[Snapshot]:[ID]])</f>
        <v>46275+DIR-17ED309CD1BF</v>
      </c>
      <c r="F43" s="5"/>
      <c r="G43" s="5" t="s">
        <v>1299</v>
      </c>
      <c r="H43" s="20" t="s">
        <v>1299</v>
      </c>
      <c r="I43" s="5" t="s">
        <v>75</v>
      </c>
      <c r="J43" s="4" t="s">
        <v>200</v>
      </c>
      <c r="K43" s="4" t="str" cm="1">
        <f t="array" ref="K4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35. Năng suất Làm việc và Công cụ Cộng tác Nội bộ</v>
      </c>
      <c r="L43" s="4" t="s">
        <v>44</v>
      </c>
      <c r="M43" s="4" t="s">
        <v>262</v>
      </c>
      <c r="N43" s="4" t="s">
        <v>1708</v>
      </c>
      <c r="O43" s="4" t="s">
        <v>263</v>
      </c>
      <c r="P43" s="6">
        <v>46118</v>
      </c>
      <c r="Q43" s="6">
        <v>46118</v>
      </c>
      <c r="R43" s="5">
        <v>1</v>
      </c>
      <c r="S43" s="5"/>
      <c r="T43" s="13"/>
      <c r="U43" s="13"/>
      <c r="V43" s="5">
        <v>0</v>
      </c>
      <c r="W43" s="22" t="str">
        <f>_xlfn.LET(
_xlpm.H,Table1[[#This Row],[Thời hạn mới nhất (Date)]],
_xlpm.S,Table1[[#This Row],[Snapshot]],
IF(
    ISNUMBER(_xlpm.H),
    INT(_xlpm.H)-INT(_xlpm.S),
    "Không giao thời hạn"
))</f>
        <v>Không giao thời hạn</v>
      </c>
      <c r="X43" s="4" t="s">
        <v>264</v>
      </c>
      <c r="Y43" s="5"/>
      <c r="Z43" s="5" t="s">
        <v>35</v>
      </c>
      <c r="AA43" s="5"/>
      <c r="AB43" s="4"/>
      <c r="AC43" s="6"/>
      <c r="AD43" s="6"/>
      <c r="AE43" s="4">
        <v>0</v>
      </c>
      <c r="AF43" s="26" t="str">
        <f>_xlfn.LET(
_xlpm.H,Table1[[#This Row],[Thời hạn mới nhất (Date)]],
_xlpm.D,Table1[[#This Row],[Dự kiến mới nhất (Date)]],
IF(
NOT(ISNUMBER(_xlpm.H)),"Không giao thời hạn",
IF(
NOT(ISNUMBER(_xlpm.D)),"Chưa có dự kiến",
_xlpm.D-_xlpm.H
)))</f>
        <v>Không giao thời hạn</v>
      </c>
    </row>
    <row r="44" spans="1:32" ht="160.30000000000001" x14ac:dyDescent="0.4">
      <c r="A44" s="44">
        <v>46282</v>
      </c>
      <c r="B44" s="4" t="s">
        <v>865</v>
      </c>
      <c r="C44" s="5" t="s">
        <v>861</v>
      </c>
      <c r="D44" s="5">
        <v>14</v>
      </c>
      <c r="E44" s="5" t="str">
        <f>_xlfn.TEXTJOIN("+",TRUE,Table1[[#This Row],[Snapshot]:[ID]])</f>
        <v>46282+DIR-1928A791466C</v>
      </c>
      <c r="F44" s="5"/>
      <c r="G44" s="5" t="s">
        <v>1766</v>
      </c>
      <c r="H44" s="20" t="s">
        <v>1767</v>
      </c>
      <c r="I44" s="5" t="s">
        <v>52</v>
      </c>
      <c r="J44" s="4" t="s">
        <v>30</v>
      </c>
      <c r="K44" s="4" t="str" cm="1">
        <f t="array" ref="K4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44" s="4" t="s">
        <v>861</v>
      </c>
      <c r="M44" s="4" t="s">
        <v>866</v>
      </c>
      <c r="N44" s="4" t="s">
        <v>1709</v>
      </c>
      <c r="O44" s="4" t="s">
        <v>32</v>
      </c>
      <c r="P44" s="6">
        <v>46242</v>
      </c>
      <c r="Q44" s="6">
        <v>46242</v>
      </c>
      <c r="R44" s="5">
        <v>1</v>
      </c>
      <c r="S44" s="5" t="s">
        <v>584</v>
      </c>
      <c r="T44" s="13">
        <v>46295</v>
      </c>
      <c r="U44" s="13">
        <v>46295</v>
      </c>
      <c r="V44" s="5">
        <v>0</v>
      </c>
      <c r="W44" s="22">
        <f>_xlfn.LET(
_xlpm.H,Table1[[#This Row],[Thời hạn mới nhất (Date)]],
_xlpm.S,Table1[[#This Row],[Snapshot]],
IF(
    ISNUMBER(_xlpm.H),
    INT(_xlpm.H)-INT(_xlpm.S),
    "Không giao thời hạn"
))</f>
        <v>13</v>
      </c>
      <c r="X44" s="4" t="s">
        <v>867</v>
      </c>
      <c r="Y44" s="5"/>
      <c r="Z44" s="5" t="s">
        <v>35</v>
      </c>
      <c r="AA44" s="5"/>
      <c r="AB44" s="4" t="s">
        <v>182</v>
      </c>
      <c r="AC44" s="6">
        <v>46295</v>
      </c>
      <c r="AD44" s="6">
        <v>46295</v>
      </c>
      <c r="AE44" s="4">
        <v>0</v>
      </c>
      <c r="AF44" s="26">
        <f>_xlfn.LET(
_xlpm.H,Table1[[#This Row],[Thời hạn mới nhất (Date)]],
_xlpm.D,Table1[[#This Row],[Dự kiến mới nhất (Date)]],
IF(
NOT(ISNUMBER(_xlpm.H)),"Không giao thời hạn",
IF(
NOT(ISNUMBER(_xlpm.D)),"Chưa có dự kiến",
_xlpm.D-_xlpm.H
)))</f>
        <v>0</v>
      </c>
    </row>
    <row r="45" spans="1:32" ht="160.30000000000001" x14ac:dyDescent="0.4">
      <c r="A45" s="44">
        <v>46275</v>
      </c>
      <c r="B45" s="4" t="s">
        <v>865</v>
      </c>
      <c r="C45" s="5" t="s">
        <v>861</v>
      </c>
      <c r="D45" s="5">
        <v>14</v>
      </c>
      <c r="E45" s="5" t="str">
        <f>_xlfn.TEXTJOIN("+",TRUE,Table1[[#This Row],[Snapshot]:[ID]])</f>
        <v>46275+DIR-1928A791466C</v>
      </c>
      <c r="F45" s="5"/>
      <c r="G45" s="5" t="s">
        <v>1768</v>
      </c>
      <c r="H45" s="20" t="s">
        <v>1769</v>
      </c>
      <c r="I45" s="5" t="s">
        <v>52</v>
      </c>
      <c r="J45" s="4" t="s">
        <v>30</v>
      </c>
      <c r="K45" s="4" t="str" cm="1">
        <f t="array" ref="K4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45" s="4" t="s">
        <v>861</v>
      </c>
      <c r="M45" s="4" t="s">
        <v>866</v>
      </c>
      <c r="N45" s="4" t="s">
        <v>1709</v>
      </c>
      <c r="O45" s="4" t="s">
        <v>32</v>
      </c>
      <c r="P45" s="6">
        <v>46242</v>
      </c>
      <c r="Q45" s="6">
        <v>46242</v>
      </c>
      <c r="R45" s="5">
        <v>1</v>
      </c>
      <c r="S45" s="5" t="s">
        <v>584</v>
      </c>
      <c r="T45" s="13">
        <v>46295</v>
      </c>
      <c r="U45" s="13">
        <v>46295</v>
      </c>
      <c r="V45" s="5">
        <v>0</v>
      </c>
      <c r="W45" s="22">
        <f>_xlfn.LET(
_xlpm.H,Table1[[#This Row],[Thời hạn mới nhất (Date)]],
_xlpm.S,Table1[[#This Row],[Snapshot]],
IF(
    ISNUMBER(_xlpm.H),
    INT(_xlpm.H)-INT(_xlpm.S),
    "Không giao thời hạn"
))</f>
        <v>20</v>
      </c>
      <c r="X45" s="4" t="s">
        <v>867</v>
      </c>
      <c r="Y45" s="5"/>
      <c r="Z45" s="5" t="s">
        <v>35</v>
      </c>
      <c r="AA45" s="5"/>
      <c r="AB45" s="4" t="s">
        <v>182</v>
      </c>
      <c r="AC45" s="6">
        <v>46295</v>
      </c>
      <c r="AD45" s="6">
        <v>46295</v>
      </c>
      <c r="AE45" s="4">
        <v>0</v>
      </c>
      <c r="AF45" s="26">
        <f>_xlfn.LET(
_xlpm.H,Table1[[#This Row],[Thời hạn mới nhất (Date)]],
_xlpm.D,Table1[[#This Row],[Dự kiến mới nhất (Date)]],
IF(
NOT(ISNUMBER(_xlpm.H)),"Không giao thời hạn",
IF(
NOT(ISNUMBER(_xlpm.D)),"Chưa có dự kiến",
_xlpm.D-_xlpm.H
)))</f>
        <v>0</v>
      </c>
    </row>
    <row r="46" spans="1:32" ht="145.75" x14ac:dyDescent="0.4">
      <c r="A46" s="44">
        <v>46282</v>
      </c>
      <c r="B46" s="4" t="s">
        <v>698</v>
      </c>
      <c r="C46" s="5" t="s">
        <v>688</v>
      </c>
      <c r="D46" s="5">
        <v>21</v>
      </c>
      <c r="E46" s="5" t="str">
        <f>_xlfn.TEXTJOIN("+",TRUE,Table1[[#This Row],[Snapshot]:[ID]])</f>
        <v>46282+DIR-19AC29A3560A</v>
      </c>
      <c r="F46" s="5"/>
      <c r="G46" s="20" t="s">
        <v>1240</v>
      </c>
      <c r="H46" s="20" t="s">
        <v>1241</v>
      </c>
      <c r="I46" s="5" t="s">
        <v>63</v>
      </c>
      <c r="J46" s="4" t="s">
        <v>689</v>
      </c>
      <c r="K46" s="4" t="str" cm="1">
        <f t="array" ref="K4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46" s="4" t="s">
        <v>688</v>
      </c>
      <c r="M46" s="4" t="s">
        <v>699</v>
      </c>
      <c r="N46" s="4" t="s">
        <v>1696</v>
      </c>
      <c r="O46" s="4" t="s">
        <v>59</v>
      </c>
      <c r="P46" s="6">
        <v>46158</v>
      </c>
      <c r="Q46" s="6">
        <v>46158</v>
      </c>
      <c r="R46" s="5">
        <v>1</v>
      </c>
      <c r="S46" s="5" t="s">
        <v>700</v>
      </c>
      <c r="T46" s="13">
        <v>46163</v>
      </c>
      <c r="U46" s="13">
        <v>46163</v>
      </c>
      <c r="V46" s="5">
        <v>0</v>
      </c>
      <c r="W46" s="22">
        <f>_xlfn.LET(
_xlpm.H,Table1[[#This Row],[Thời hạn mới nhất (Date)]],
_xlpm.S,Table1[[#This Row],[Snapshot]],
IF(
    ISNUMBER(_xlpm.H),
    INT(_xlpm.H)-INT(_xlpm.S),
    "Không giao thời hạn"
))</f>
        <v>-119</v>
      </c>
      <c r="X46" s="4" t="s">
        <v>701</v>
      </c>
      <c r="Y46" s="5"/>
      <c r="Z46" s="5"/>
      <c r="AA46" s="5" t="s">
        <v>35</v>
      </c>
      <c r="AB46" s="4" t="s">
        <v>695</v>
      </c>
      <c r="AC46" s="6">
        <v>46295</v>
      </c>
      <c r="AD46" s="6">
        <v>46295</v>
      </c>
      <c r="AE46" s="4">
        <v>0</v>
      </c>
      <c r="AF46" s="26">
        <f>_xlfn.LET(
_xlpm.H,Table1[[#This Row],[Thời hạn mới nhất (Date)]],
_xlpm.D,Table1[[#This Row],[Dự kiến mới nhất (Date)]],
IF(
NOT(ISNUMBER(_xlpm.H)),"Không giao thời hạn",
IF(
NOT(ISNUMBER(_xlpm.D)),"Chưa có dự kiến",
_xlpm.D-_xlpm.H
)))</f>
        <v>132</v>
      </c>
    </row>
    <row r="47" spans="1:32" ht="145.75" x14ac:dyDescent="0.4">
      <c r="A47" s="44">
        <v>46275</v>
      </c>
      <c r="B47" s="4" t="s">
        <v>698</v>
      </c>
      <c r="C47" s="5" t="s">
        <v>688</v>
      </c>
      <c r="D47" s="5">
        <v>21</v>
      </c>
      <c r="E47" s="5" t="str">
        <f>_xlfn.TEXTJOIN("+",TRUE,Table1[[#This Row],[Snapshot]:[ID]])</f>
        <v>46275+DIR-19AC29A3560A</v>
      </c>
      <c r="F47" s="5"/>
      <c r="G47" s="20" t="s">
        <v>1243</v>
      </c>
      <c r="H47" s="20" t="s">
        <v>1242</v>
      </c>
      <c r="I47" s="5" t="s">
        <v>63</v>
      </c>
      <c r="J47" s="4" t="s">
        <v>689</v>
      </c>
      <c r="K47" s="4" t="str" cm="1">
        <f t="array" ref="K4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47" s="4" t="s">
        <v>688</v>
      </c>
      <c r="M47" s="4" t="s">
        <v>699</v>
      </c>
      <c r="N47" s="4" t="s">
        <v>1696</v>
      </c>
      <c r="O47" s="4" t="s">
        <v>59</v>
      </c>
      <c r="P47" s="6">
        <v>46158</v>
      </c>
      <c r="Q47" s="6">
        <v>46158</v>
      </c>
      <c r="R47" s="5">
        <v>1</v>
      </c>
      <c r="S47" s="5" t="s">
        <v>700</v>
      </c>
      <c r="T47" s="13">
        <v>46163</v>
      </c>
      <c r="U47" s="13">
        <v>46163</v>
      </c>
      <c r="V47" s="5">
        <v>0</v>
      </c>
      <c r="W47" s="22">
        <f>_xlfn.LET(
_xlpm.H,Table1[[#This Row],[Thời hạn mới nhất (Date)]],
_xlpm.S,Table1[[#This Row],[Snapshot]],
IF(
    ISNUMBER(_xlpm.H),
    INT(_xlpm.H)-INT(_xlpm.S),
    "Không giao thời hạn"
))</f>
        <v>-112</v>
      </c>
      <c r="X47" s="4" t="s">
        <v>701</v>
      </c>
      <c r="Y47" s="5"/>
      <c r="Z47" s="5"/>
      <c r="AA47" s="5" t="s">
        <v>35</v>
      </c>
      <c r="AB47" s="4" t="s">
        <v>695</v>
      </c>
      <c r="AC47" s="6">
        <v>46295</v>
      </c>
      <c r="AD47" s="6">
        <v>46295</v>
      </c>
      <c r="AE47" s="4">
        <v>0</v>
      </c>
      <c r="AF47" s="26">
        <f>_xlfn.LET(
_xlpm.H,Table1[[#This Row],[Thời hạn mới nhất (Date)]],
_xlpm.D,Table1[[#This Row],[Dự kiến mới nhất (Date)]],
IF(
NOT(ISNUMBER(_xlpm.H)),"Không giao thời hạn",
IF(
NOT(ISNUMBER(_xlpm.D)),"Chưa có dự kiến",
_xlpm.D-_xlpm.H
)))</f>
        <v>132</v>
      </c>
    </row>
    <row r="48" spans="1:32" ht="204" x14ac:dyDescent="0.4">
      <c r="A48" s="44">
        <v>46282</v>
      </c>
      <c r="B48" s="4" t="s">
        <v>726</v>
      </c>
      <c r="C48" s="5" t="s">
        <v>688</v>
      </c>
      <c r="D48" s="5">
        <v>28</v>
      </c>
      <c r="E48" s="5" t="str">
        <f>_xlfn.TEXTJOIN("+",TRUE,Table1[[#This Row],[Snapshot]:[ID]])</f>
        <v>46282+DIR-1A716A5896B7</v>
      </c>
      <c r="F48" s="5"/>
      <c r="G48" s="5" t="s">
        <v>1509</v>
      </c>
      <c r="H48" s="20" t="s">
        <v>1510</v>
      </c>
      <c r="I48" s="5" t="s">
        <v>97</v>
      </c>
      <c r="J48" s="4" t="s">
        <v>689</v>
      </c>
      <c r="K48" s="4" t="str" cm="1">
        <f t="array" ref="K4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48" s="4" t="s">
        <v>688</v>
      </c>
      <c r="M48" s="4" t="s">
        <v>727</v>
      </c>
      <c r="N48" s="4" t="s">
        <v>1696</v>
      </c>
      <c r="O48" s="4" t="s">
        <v>160</v>
      </c>
      <c r="P48" s="6">
        <v>46214</v>
      </c>
      <c r="Q48" s="6">
        <v>46214</v>
      </c>
      <c r="R48" s="5">
        <v>1</v>
      </c>
      <c r="S48" s="5" t="s">
        <v>969</v>
      </c>
      <c r="T48" s="13">
        <v>46227</v>
      </c>
      <c r="U48" s="13">
        <v>46227</v>
      </c>
      <c r="V48" s="5">
        <v>1</v>
      </c>
      <c r="W48" s="22">
        <f>_xlfn.LET(
_xlpm.H,Table1[[#This Row],[Thời hạn mới nhất (Date)]],
_xlpm.S,Table1[[#This Row],[Snapshot]],
IF(
    ISNUMBER(_xlpm.H),
    INT(_xlpm.H)-INT(_xlpm.S),
    "Không giao thời hạn"
))</f>
        <v>-55</v>
      </c>
      <c r="X48" s="4" t="s">
        <v>970</v>
      </c>
      <c r="Y48" s="5"/>
      <c r="Z48" s="5" t="s">
        <v>35</v>
      </c>
      <c r="AA48" s="5"/>
      <c r="AB48" s="4" t="s">
        <v>717</v>
      </c>
      <c r="AC48" s="6">
        <v>46295</v>
      </c>
      <c r="AD48" s="6">
        <v>46295</v>
      </c>
      <c r="AE48" s="4">
        <v>0</v>
      </c>
      <c r="AF48" s="26">
        <f>_xlfn.LET(
_xlpm.H,Table1[[#This Row],[Thời hạn mới nhất (Date)]],
_xlpm.D,Table1[[#This Row],[Dự kiến mới nhất (Date)]],
IF(
NOT(ISNUMBER(_xlpm.H)),"Không giao thời hạn",
IF(
NOT(ISNUMBER(_xlpm.D)),"Chưa có dự kiến",
_xlpm.D-_xlpm.H
)))</f>
        <v>68</v>
      </c>
    </row>
    <row r="49" spans="1:32" ht="131.15" x14ac:dyDescent="0.4">
      <c r="A49" s="44">
        <v>46275</v>
      </c>
      <c r="B49" s="4" t="s">
        <v>726</v>
      </c>
      <c r="C49" s="5" t="s">
        <v>688</v>
      </c>
      <c r="D49" s="5">
        <v>28</v>
      </c>
      <c r="E49" s="5" t="str">
        <f>_xlfn.TEXTJOIN("+",TRUE,Table1[[#This Row],[Snapshot]:[ID]])</f>
        <v>46275+DIR-1A716A5896B7</v>
      </c>
      <c r="F49" s="5"/>
      <c r="G49" s="5" t="s">
        <v>1360</v>
      </c>
      <c r="H49" s="20" t="s">
        <v>1361</v>
      </c>
      <c r="I49" s="5" t="s">
        <v>97</v>
      </c>
      <c r="J49" s="4" t="s">
        <v>689</v>
      </c>
      <c r="K49" s="4" t="str" cm="1">
        <f t="array" ref="K4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49" s="4" t="s">
        <v>688</v>
      </c>
      <c r="M49" s="4" t="s">
        <v>727</v>
      </c>
      <c r="N49" s="4" t="s">
        <v>1696</v>
      </c>
      <c r="O49" s="4" t="s">
        <v>160</v>
      </c>
      <c r="P49" s="6">
        <v>46214</v>
      </c>
      <c r="Q49" s="6">
        <v>46214</v>
      </c>
      <c r="R49" s="5">
        <v>1</v>
      </c>
      <c r="S49" s="5" t="s">
        <v>728</v>
      </c>
      <c r="T49" s="13">
        <v>46280</v>
      </c>
      <c r="U49" s="13">
        <v>46280</v>
      </c>
      <c r="V49" s="5">
        <v>0</v>
      </c>
      <c r="W49" s="22">
        <f>_xlfn.LET(
_xlpm.H,Table1[[#This Row],[Thời hạn mới nhất (Date)]],
_xlpm.S,Table1[[#This Row],[Snapshot]],
IF(
    ISNUMBER(_xlpm.H),
    INT(_xlpm.H)-INT(_xlpm.S),
    "Không giao thời hạn"
))</f>
        <v>5</v>
      </c>
      <c r="X49" s="4" t="s">
        <v>729</v>
      </c>
      <c r="Y49" s="5"/>
      <c r="Z49" s="5" t="s">
        <v>35</v>
      </c>
      <c r="AA49" s="5"/>
      <c r="AB49" s="4" t="s">
        <v>717</v>
      </c>
      <c r="AC49" s="6">
        <v>46280</v>
      </c>
      <c r="AD49" s="6">
        <v>46280</v>
      </c>
      <c r="AE49" s="4">
        <v>0</v>
      </c>
      <c r="AF49" s="26">
        <f>_xlfn.LET(
_xlpm.H,Table1[[#This Row],[Thời hạn mới nhất (Date)]],
_xlpm.D,Table1[[#This Row],[Dự kiến mới nhất (Date)]],
IF(
NOT(ISNUMBER(_xlpm.H)),"Không giao thời hạn",
IF(
NOT(ISNUMBER(_xlpm.D)),"Chưa có dự kiến",
_xlpm.D-_xlpm.H
)))</f>
        <v>0</v>
      </c>
    </row>
    <row r="50" spans="1:32" ht="145.75" x14ac:dyDescent="0.4">
      <c r="A50" s="44">
        <v>46282</v>
      </c>
      <c r="B50" s="4" t="s">
        <v>614</v>
      </c>
      <c r="C50" s="5" t="s">
        <v>607</v>
      </c>
      <c r="D50" s="5">
        <v>15</v>
      </c>
      <c r="E50" s="5" t="str">
        <f>_xlfn.TEXTJOIN("+",TRUE,Table1[[#This Row],[Snapshot]:[ID]])</f>
        <v>46282+DIR-1AB878A27C8B</v>
      </c>
      <c r="F50" s="5"/>
      <c r="G50" s="5" t="s">
        <v>1770</v>
      </c>
      <c r="H50" s="20" t="s">
        <v>1771</v>
      </c>
      <c r="I50" s="5" t="s">
        <v>57</v>
      </c>
      <c r="J50" s="4" t="s">
        <v>30</v>
      </c>
      <c r="K50" s="4" t="str" cm="1">
        <f t="array" ref="K5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50" s="4" t="s">
        <v>607</v>
      </c>
      <c r="M50" s="4" t="s">
        <v>615</v>
      </c>
      <c r="N50" s="4" t="s">
        <v>1700</v>
      </c>
      <c r="O50" s="4" t="s">
        <v>160</v>
      </c>
      <c r="P50" s="6">
        <v>46214</v>
      </c>
      <c r="Q50" s="6">
        <v>46214</v>
      </c>
      <c r="R50" s="5">
        <v>1</v>
      </c>
      <c r="S50" s="5" t="s">
        <v>301</v>
      </c>
      <c r="T50" s="13">
        <v>46295</v>
      </c>
      <c r="U50" s="13">
        <v>46295</v>
      </c>
      <c r="V50" s="5">
        <v>0</v>
      </c>
      <c r="W50" s="22">
        <f>_xlfn.LET(
_xlpm.H,Table1[[#This Row],[Thời hạn mới nhất (Date)]],
_xlpm.S,Table1[[#This Row],[Snapshot]],
IF(
    ISNUMBER(_xlpm.H),
    INT(_xlpm.H)-INT(_xlpm.S),
    "Không giao thời hạn"
))</f>
        <v>13</v>
      </c>
      <c r="X50" s="4" t="s">
        <v>616</v>
      </c>
      <c r="Y50" s="5"/>
      <c r="Z50" s="5" t="s">
        <v>35</v>
      </c>
      <c r="AA50" s="5"/>
      <c r="AB50" s="4" t="s">
        <v>50</v>
      </c>
      <c r="AC50" s="6"/>
      <c r="AD50" s="6"/>
      <c r="AE50" s="4">
        <v>0</v>
      </c>
      <c r="AF50" s="26" t="str">
        <f>_xlfn.LET(
_xlpm.H,Table1[[#This Row],[Thời hạn mới nhất (Date)]],
_xlpm.D,Table1[[#This Row],[Dự kiến mới nhất (Date)]],
IF(
NOT(ISNUMBER(_xlpm.H)),"Không giao thời hạn",
IF(
NOT(ISNUMBER(_xlpm.D)),"Chưa có dự kiến",
_xlpm.D-_xlpm.H
)))</f>
        <v>Chưa có dự kiến</v>
      </c>
    </row>
    <row r="51" spans="1:32" ht="174.9" x14ac:dyDescent="0.4">
      <c r="A51" s="44">
        <v>46275</v>
      </c>
      <c r="B51" s="4" t="s">
        <v>614</v>
      </c>
      <c r="C51" s="5" t="s">
        <v>607</v>
      </c>
      <c r="D51" s="5">
        <v>15</v>
      </c>
      <c r="E51" s="5" t="str">
        <f>_xlfn.TEXTJOIN("+",TRUE,Table1[[#This Row],[Snapshot]:[ID]])</f>
        <v>46275+DIR-1AB878A27C8B</v>
      </c>
      <c r="F51" s="5"/>
      <c r="G51" s="5" t="s">
        <v>1772</v>
      </c>
      <c r="H51" s="20" t="s">
        <v>1773</v>
      </c>
      <c r="I51" s="5" t="s">
        <v>57</v>
      </c>
      <c r="J51" s="4" t="s">
        <v>30</v>
      </c>
      <c r="K51" s="4" t="str" cm="1">
        <f t="array" ref="K5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51" s="4" t="s">
        <v>607</v>
      </c>
      <c r="M51" s="4" t="s">
        <v>615</v>
      </c>
      <c r="N51" s="4" t="s">
        <v>1700</v>
      </c>
      <c r="O51" s="4" t="s">
        <v>160</v>
      </c>
      <c r="P51" s="6">
        <v>46214</v>
      </c>
      <c r="Q51" s="6">
        <v>46214</v>
      </c>
      <c r="R51" s="5">
        <v>1</v>
      </c>
      <c r="S51" s="5" t="s">
        <v>301</v>
      </c>
      <c r="T51" s="13">
        <v>46295</v>
      </c>
      <c r="U51" s="13">
        <v>46295</v>
      </c>
      <c r="V51" s="5">
        <v>0</v>
      </c>
      <c r="W51" s="22">
        <f>_xlfn.LET(
_xlpm.H,Table1[[#This Row],[Thời hạn mới nhất (Date)]],
_xlpm.S,Table1[[#This Row],[Snapshot]],
IF(
    ISNUMBER(_xlpm.H),
    INT(_xlpm.H)-INT(_xlpm.S),
    "Không giao thời hạn"
))</f>
        <v>20</v>
      </c>
      <c r="X51" s="4" t="s">
        <v>616</v>
      </c>
      <c r="Y51" s="5"/>
      <c r="Z51" s="5" t="s">
        <v>35</v>
      </c>
      <c r="AA51" s="5"/>
      <c r="AB51" s="4" t="s">
        <v>50</v>
      </c>
      <c r="AC51" s="6"/>
      <c r="AD51" s="6"/>
      <c r="AE51" s="4">
        <v>0</v>
      </c>
      <c r="AF51" s="26" t="str">
        <f>_xlfn.LET(
_xlpm.H,Table1[[#This Row],[Thời hạn mới nhất (Date)]],
_xlpm.D,Table1[[#This Row],[Dự kiến mới nhất (Date)]],
IF(
NOT(ISNUMBER(_xlpm.H)),"Không giao thời hạn",
IF(
NOT(ISNUMBER(_xlpm.D)),"Chưa có dự kiến",
_xlpm.D-_xlpm.H
)))</f>
        <v>Chưa có dự kiến</v>
      </c>
    </row>
    <row r="52" spans="1:32" ht="160.30000000000001" x14ac:dyDescent="0.4">
      <c r="A52" s="44">
        <v>46282</v>
      </c>
      <c r="B52" s="4" t="s">
        <v>702</v>
      </c>
      <c r="C52" s="5" t="s">
        <v>688</v>
      </c>
      <c r="D52" s="5">
        <v>22</v>
      </c>
      <c r="E52" s="5" t="str">
        <f>_xlfn.TEXTJOIN("+",TRUE,Table1[[#This Row],[Snapshot]:[ID]])</f>
        <v>46282+DIR-1ABEEA7A0DB7</v>
      </c>
      <c r="F52" s="5"/>
      <c r="G52" s="5" t="s">
        <v>1478</v>
      </c>
      <c r="H52" s="20" t="s">
        <v>1479</v>
      </c>
      <c r="I52" s="5" t="s">
        <v>69</v>
      </c>
      <c r="J52" s="4" t="s">
        <v>689</v>
      </c>
      <c r="K52" s="4" t="str" cm="1">
        <f t="array" ref="K5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52" s="4" t="s">
        <v>688</v>
      </c>
      <c r="M52" s="4" t="s">
        <v>703</v>
      </c>
      <c r="N52" s="4" t="s">
        <v>1696</v>
      </c>
      <c r="O52" s="4" t="s">
        <v>313</v>
      </c>
      <c r="P52" s="6">
        <v>46193</v>
      </c>
      <c r="Q52" s="6">
        <v>46193</v>
      </c>
      <c r="R52" s="5">
        <v>1</v>
      </c>
      <c r="S52" s="5" t="s">
        <v>144</v>
      </c>
      <c r="T52" s="13">
        <v>46203</v>
      </c>
      <c r="U52" s="13">
        <v>46203</v>
      </c>
      <c r="V52" s="5">
        <v>0</v>
      </c>
      <c r="W52" s="22">
        <f>_xlfn.LET(
_xlpm.H,Table1[[#This Row],[Thời hạn mới nhất (Date)]],
_xlpm.S,Table1[[#This Row],[Snapshot]],
IF(
    ISNUMBER(_xlpm.H),
    INT(_xlpm.H)-INT(_xlpm.S),
    "Không giao thời hạn"
))</f>
        <v>-79</v>
      </c>
      <c r="X52" s="4" t="s">
        <v>704</v>
      </c>
      <c r="Y52" s="5"/>
      <c r="Z52" s="5" t="s">
        <v>35</v>
      </c>
      <c r="AA52" s="5"/>
      <c r="AB52" s="4" t="s">
        <v>705</v>
      </c>
      <c r="AC52" s="6">
        <v>46295</v>
      </c>
      <c r="AD52" s="6">
        <v>46295</v>
      </c>
      <c r="AE52" s="4">
        <v>0</v>
      </c>
      <c r="AF52" s="26">
        <f>_xlfn.LET(
_xlpm.H,Table1[[#This Row],[Thời hạn mới nhất (Date)]],
_xlpm.D,Table1[[#This Row],[Dự kiến mới nhất (Date)]],
IF(
NOT(ISNUMBER(_xlpm.H)),"Không giao thời hạn",
IF(
NOT(ISNUMBER(_xlpm.D)),"Chưa có dự kiến",
_xlpm.D-_xlpm.H
)))</f>
        <v>92</v>
      </c>
    </row>
    <row r="53" spans="1:32" ht="102" x14ac:dyDescent="0.4">
      <c r="A53" s="44">
        <v>46275</v>
      </c>
      <c r="B53" s="4" t="s">
        <v>702</v>
      </c>
      <c r="C53" s="5" t="s">
        <v>688</v>
      </c>
      <c r="D53" s="5">
        <v>22</v>
      </c>
      <c r="E53" s="5" t="str">
        <f>_xlfn.TEXTJOIN("+",TRUE,Table1[[#This Row],[Snapshot]:[ID]])</f>
        <v>46275+DIR-1ABEEA7A0DB7</v>
      </c>
      <c r="F53" s="5"/>
      <c r="G53" s="5" t="s">
        <v>1480</v>
      </c>
      <c r="H53" s="20" t="s">
        <v>1481</v>
      </c>
      <c r="I53" s="5" t="s">
        <v>69</v>
      </c>
      <c r="J53" s="4" t="s">
        <v>689</v>
      </c>
      <c r="K53" s="4" t="str" cm="1">
        <f t="array" ref="K5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53" s="4" t="s">
        <v>688</v>
      </c>
      <c r="M53" s="4" t="s">
        <v>703</v>
      </c>
      <c r="N53" s="4" t="s">
        <v>1696</v>
      </c>
      <c r="O53" s="4" t="s">
        <v>313</v>
      </c>
      <c r="P53" s="6">
        <v>46193</v>
      </c>
      <c r="Q53" s="6">
        <v>46193</v>
      </c>
      <c r="R53" s="5">
        <v>1</v>
      </c>
      <c r="S53" s="5" t="s">
        <v>144</v>
      </c>
      <c r="T53" s="13">
        <v>46203</v>
      </c>
      <c r="U53" s="13">
        <v>46203</v>
      </c>
      <c r="V53" s="5">
        <v>0</v>
      </c>
      <c r="W53" s="22">
        <f>_xlfn.LET(
_xlpm.H,Table1[[#This Row],[Thời hạn mới nhất (Date)]],
_xlpm.S,Table1[[#This Row],[Snapshot]],
IF(
    ISNUMBER(_xlpm.H),
    INT(_xlpm.H)-INT(_xlpm.S),
    "Không giao thời hạn"
))</f>
        <v>-72</v>
      </c>
      <c r="X53" s="4" t="s">
        <v>704</v>
      </c>
      <c r="Y53" s="5"/>
      <c r="Z53" s="5" t="s">
        <v>35</v>
      </c>
      <c r="AA53" s="5"/>
      <c r="AB53" s="4" t="s">
        <v>705</v>
      </c>
      <c r="AC53" s="6">
        <v>46295</v>
      </c>
      <c r="AD53" s="6">
        <v>46295</v>
      </c>
      <c r="AE53" s="4">
        <v>0</v>
      </c>
      <c r="AF53" s="26">
        <f>_xlfn.LET(
_xlpm.H,Table1[[#This Row],[Thời hạn mới nhất (Date)]],
_xlpm.D,Table1[[#This Row],[Dự kiến mới nhất (Date)]],
IF(
NOT(ISNUMBER(_xlpm.H)),"Không giao thời hạn",
IF(
NOT(ISNUMBER(_xlpm.D)),"Chưa có dự kiến",
_xlpm.D-_xlpm.H
)))</f>
        <v>92</v>
      </c>
    </row>
    <row r="54" spans="1:32" ht="131.15" x14ac:dyDescent="0.4">
      <c r="A54" s="44">
        <v>46282</v>
      </c>
      <c r="B54" s="4" t="s">
        <v>338</v>
      </c>
      <c r="C54" s="5" t="s">
        <v>297</v>
      </c>
      <c r="D54" s="5">
        <v>22</v>
      </c>
      <c r="E54" s="5" t="str">
        <f>_xlfn.TEXTJOIN("+",TRUE,Table1[[#This Row],[Snapshot]:[ID]])</f>
        <v>46282+DIR-1B5C9A8F1951</v>
      </c>
      <c r="F54" s="5"/>
      <c r="G54" s="5" t="s">
        <v>1774</v>
      </c>
      <c r="H54" s="20" t="s">
        <v>1775</v>
      </c>
      <c r="I54" s="5" t="s">
        <v>93</v>
      </c>
      <c r="J54" s="4" t="s">
        <v>30</v>
      </c>
      <c r="K54" s="4" t="str" cm="1">
        <f t="array" ref="K5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54" s="4" t="s">
        <v>297</v>
      </c>
      <c r="M54" s="4" t="s">
        <v>339</v>
      </c>
      <c r="N54" s="4" t="s">
        <v>1701</v>
      </c>
      <c r="O54" s="4" t="s">
        <v>181</v>
      </c>
      <c r="P54" s="6">
        <v>46270</v>
      </c>
      <c r="Q54" s="6">
        <v>46270</v>
      </c>
      <c r="R54" s="5">
        <v>1</v>
      </c>
      <c r="S54" s="5"/>
      <c r="T54" s="13"/>
      <c r="U54" s="13"/>
      <c r="V54" s="5">
        <v>0</v>
      </c>
      <c r="W54" s="22" t="str">
        <f>_xlfn.LET(
_xlpm.H,Table1[[#This Row],[Thời hạn mới nhất (Date)]],
_xlpm.S,Table1[[#This Row],[Snapshot]],
IF(
    ISNUMBER(_xlpm.H),
    INT(_xlpm.H)-INT(_xlpm.S),
    "Không giao thời hạn"
))</f>
        <v>Không giao thời hạn</v>
      </c>
      <c r="X54" s="4" t="s">
        <v>326</v>
      </c>
      <c r="Y54" s="5"/>
      <c r="Z54" s="5" t="s">
        <v>35</v>
      </c>
      <c r="AA54" s="5"/>
      <c r="AB54" s="4" t="s">
        <v>334</v>
      </c>
      <c r="AC54" s="6">
        <v>46387</v>
      </c>
      <c r="AD54" s="6">
        <v>46387</v>
      </c>
      <c r="AE54" s="4">
        <v>0</v>
      </c>
      <c r="AF54" s="26" t="str">
        <f>_xlfn.LET(
_xlpm.H,Table1[[#This Row],[Thời hạn mới nhất (Date)]],
_xlpm.D,Table1[[#This Row],[Dự kiến mới nhất (Date)]],
IF(
NOT(ISNUMBER(_xlpm.H)),"Không giao thời hạn",
IF(
NOT(ISNUMBER(_xlpm.D)),"Chưa có dự kiến",
_xlpm.D-_xlpm.H
)))</f>
        <v>Không giao thời hạn</v>
      </c>
    </row>
    <row r="55" spans="1:32" ht="174.9" x14ac:dyDescent="0.4">
      <c r="A55" s="44">
        <v>46275</v>
      </c>
      <c r="B55" s="4" t="s">
        <v>338</v>
      </c>
      <c r="C55" s="5" t="s">
        <v>297</v>
      </c>
      <c r="D55" s="5">
        <v>23</v>
      </c>
      <c r="E55" s="5" t="str">
        <f>_xlfn.TEXTJOIN("+",TRUE,Table1[[#This Row],[Snapshot]:[ID]])</f>
        <v>46275+DIR-1B5C9A8F1951</v>
      </c>
      <c r="F55" s="5"/>
      <c r="G55" s="5" t="s">
        <v>1776</v>
      </c>
      <c r="H55" s="20" t="s">
        <v>1777</v>
      </c>
      <c r="I55" s="5" t="s">
        <v>97</v>
      </c>
      <c r="J55" s="4" t="s">
        <v>30</v>
      </c>
      <c r="K55" s="4" t="str" cm="1">
        <f t="array" ref="K5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55" s="4" t="s">
        <v>297</v>
      </c>
      <c r="M55" s="4" t="s">
        <v>339</v>
      </c>
      <c r="N55" s="4" t="s">
        <v>1701</v>
      </c>
      <c r="O55" s="4" t="s">
        <v>181</v>
      </c>
      <c r="P55" s="6">
        <v>46270</v>
      </c>
      <c r="Q55" s="6">
        <v>46270</v>
      </c>
      <c r="R55" s="5">
        <v>1</v>
      </c>
      <c r="S55" s="5"/>
      <c r="T55" s="13"/>
      <c r="U55" s="13"/>
      <c r="V55" s="5">
        <v>0</v>
      </c>
      <c r="W55" s="22" t="str">
        <f>_xlfn.LET(
_xlpm.H,Table1[[#This Row],[Thời hạn mới nhất (Date)]],
_xlpm.S,Table1[[#This Row],[Snapshot]],
IF(
    ISNUMBER(_xlpm.H),
    INT(_xlpm.H)-INT(_xlpm.S),
    "Không giao thời hạn"
))</f>
        <v>Không giao thời hạn</v>
      </c>
      <c r="X55" s="4" t="s">
        <v>326</v>
      </c>
      <c r="Y55" s="5"/>
      <c r="Z55" s="5" t="s">
        <v>35</v>
      </c>
      <c r="AA55" s="5"/>
      <c r="AB55" s="4" t="s">
        <v>334</v>
      </c>
      <c r="AC55" s="6">
        <v>46387</v>
      </c>
      <c r="AD55" s="6">
        <v>46387</v>
      </c>
      <c r="AE55" s="4">
        <v>0</v>
      </c>
      <c r="AF55" s="26" t="str">
        <f>_xlfn.LET(
_xlpm.H,Table1[[#This Row],[Thời hạn mới nhất (Date)]],
_xlpm.D,Table1[[#This Row],[Dự kiến mới nhất (Date)]],
IF(
NOT(ISNUMBER(_xlpm.H)),"Không giao thời hạn",
IF(
NOT(ISNUMBER(_xlpm.D)),"Chưa có dự kiến",
_xlpm.D-_xlpm.H
)))</f>
        <v>Không giao thời hạn</v>
      </c>
    </row>
    <row r="56" spans="1:32" ht="145.75" x14ac:dyDescent="0.4">
      <c r="A56" s="44">
        <v>46282</v>
      </c>
      <c r="B56" s="4" t="s">
        <v>364</v>
      </c>
      <c r="C56" s="5" t="s">
        <v>352</v>
      </c>
      <c r="D56" s="5">
        <v>16</v>
      </c>
      <c r="E56" s="5" t="str">
        <f>_xlfn.TEXTJOIN("+",TRUE,Table1[[#This Row],[Snapshot]:[ID]])</f>
        <v>46282+DIR-1BB0F8D9DA85</v>
      </c>
      <c r="F56" s="5"/>
      <c r="G56" s="5" t="s">
        <v>1778</v>
      </c>
      <c r="H56" s="20" t="s">
        <v>1779</v>
      </c>
      <c r="I56" s="5" t="s">
        <v>63</v>
      </c>
      <c r="J56" s="4" t="s">
        <v>30</v>
      </c>
      <c r="K56" s="4" t="str" cm="1">
        <f t="array" ref="K5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56" s="4" t="s">
        <v>352</v>
      </c>
      <c r="M56" s="4" t="s">
        <v>365</v>
      </c>
      <c r="N56" s="4" t="s">
        <v>1702</v>
      </c>
      <c r="O56" s="4" t="s">
        <v>275</v>
      </c>
      <c r="P56" s="6">
        <v>46256</v>
      </c>
      <c r="Q56" s="6">
        <v>46256</v>
      </c>
      <c r="R56" s="5">
        <v>1</v>
      </c>
      <c r="S56" s="5"/>
      <c r="T56" s="13"/>
      <c r="U56" s="13"/>
      <c r="V56" s="5">
        <v>0</v>
      </c>
      <c r="W56" s="22" t="str">
        <f>_xlfn.LET(
_xlpm.H,Table1[[#This Row],[Thời hạn mới nhất (Date)]],
_xlpm.S,Table1[[#This Row],[Snapshot]],
IF(
    ISNUMBER(_xlpm.H),
    INT(_xlpm.H)-INT(_xlpm.S),
    "Không giao thời hạn"
))</f>
        <v>Không giao thời hạn</v>
      </c>
      <c r="X56" s="4" t="s">
        <v>366</v>
      </c>
      <c r="Y56" s="5"/>
      <c r="Z56" s="5" t="s">
        <v>35</v>
      </c>
      <c r="AA56" s="5"/>
      <c r="AB56" s="4"/>
      <c r="AC56" s="6"/>
      <c r="AD56" s="6"/>
      <c r="AE56" s="4">
        <v>0</v>
      </c>
      <c r="AF56" s="26" t="str">
        <f>_xlfn.LET(
_xlpm.H,Table1[[#This Row],[Thời hạn mới nhất (Date)]],
_xlpm.D,Table1[[#This Row],[Dự kiến mới nhất (Date)]],
IF(
NOT(ISNUMBER(_xlpm.H)),"Không giao thời hạn",
IF(
NOT(ISNUMBER(_xlpm.D)),"Chưa có dự kiến",
_xlpm.D-_xlpm.H
)))</f>
        <v>Không giao thời hạn</v>
      </c>
    </row>
    <row r="57" spans="1:32" ht="174.9" x14ac:dyDescent="0.4">
      <c r="A57" s="44">
        <v>46275</v>
      </c>
      <c r="B57" s="4" t="s">
        <v>364</v>
      </c>
      <c r="C57" s="5" t="s">
        <v>352</v>
      </c>
      <c r="D57" s="5">
        <v>16</v>
      </c>
      <c r="E57" s="5" t="str">
        <f>_xlfn.TEXTJOIN("+",TRUE,Table1[[#This Row],[Snapshot]:[ID]])</f>
        <v>46275+DIR-1BB0F8D9DA85</v>
      </c>
      <c r="F57" s="5"/>
      <c r="G57" s="5" t="s">
        <v>1780</v>
      </c>
      <c r="H57" s="20" t="s">
        <v>1781</v>
      </c>
      <c r="I57" s="5" t="s">
        <v>63</v>
      </c>
      <c r="J57" s="4" t="s">
        <v>30</v>
      </c>
      <c r="K57" s="4" t="str" cm="1">
        <f t="array" ref="K5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57" s="4" t="s">
        <v>352</v>
      </c>
      <c r="M57" s="4" t="s">
        <v>365</v>
      </c>
      <c r="N57" s="4" t="s">
        <v>1702</v>
      </c>
      <c r="O57" s="4" t="s">
        <v>275</v>
      </c>
      <c r="P57" s="6">
        <v>46256</v>
      </c>
      <c r="Q57" s="6">
        <v>46256</v>
      </c>
      <c r="R57" s="5">
        <v>1</v>
      </c>
      <c r="S57" s="5"/>
      <c r="T57" s="13"/>
      <c r="U57" s="13"/>
      <c r="V57" s="5">
        <v>0</v>
      </c>
      <c r="W57" s="22" t="str">
        <f>_xlfn.LET(
_xlpm.H,Table1[[#This Row],[Thời hạn mới nhất (Date)]],
_xlpm.S,Table1[[#This Row],[Snapshot]],
IF(
    ISNUMBER(_xlpm.H),
    INT(_xlpm.H)-INT(_xlpm.S),
    "Không giao thời hạn"
))</f>
        <v>Không giao thời hạn</v>
      </c>
      <c r="X57" s="4" t="s">
        <v>366</v>
      </c>
      <c r="Y57" s="5"/>
      <c r="Z57" s="5" t="s">
        <v>35</v>
      </c>
      <c r="AA57" s="5"/>
      <c r="AB57" s="4"/>
      <c r="AC57" s="6"/>
      <c r="AD57" s="6"/>
      <c r="AE57" s="4">
        <v>0</v>
      </c>
      <c r="AF57" s="26" t="str">
        <f>_xlfn.LET(
_xlpm.H,Table1[[#This Row],[Thời hạn mới nhất (Date)]],
_xlpm.D,Table1[[#This Row],[Dự kiến mới nhất (Date)]],
IF(
NOT(ISNUMBER(_xlpm.H)),"Không giao thời hạn",
IF(
NOT(ISNUMBER(_xlpm.D)),"Chưa có dự kiến",
_xlpm.D-_xlpm.H
)))</f>
        <v>Không giao thời hạn</v>
      </c>
    </row>
    <row r="58" spans="1:32" ht="145.75" x14ac:dyDescent="0.4">
      <c r="A58" s="44">
        <v>46282</v>
      </c>
      <c r="B58" s="4" t="s">
        <v>773</v>
      </c>
      <c r="C58" s="5" t="s">
        <v>688</v>
      </c>
      <c r="D58" s="5">
        <v>43</v>
      </c>
      <c r="E58" s="5" t="str">
        <f>_xlfn.TEXTJOIN("+",TRUE,Table1[[#This Row],[Snapshot]:[ID]])</f>
        <v>46282+DIR-1C043706A17C</v>
      </c>
      <c r="F58" s="5"/>
      <c r="G58" s="5" t="s">
        <v>1782</v>
      </c>
      <c r="H58" s="20" t="s">
        <v>1783</v>
      </c>
      <c r="I58" s="5" t="s">
        <v>174</v>
      </c>
      <c r="J58" s="4" t="s">
        <v>689</v>
      </c>
      <c r="K58" s="4" t="str" cm="1">
        <f t="array" ref="K5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28. Bảo hiểm và Phân phối Bảo hiểm</v>
      </c>
      <c r="L58" s="4" t="s">
        <v>688</v>
      </c>
      <c r="M58" s="4" t="s">
        <v>775</v>
      </c>
      <c r="N58" s="4" t="s">
        <v>1696</v>
      </c>
      <c r="O58" s="4" t="s">
        <v>32</v>
      </c>
      <c r="P58" s="6">
        <v>46242</v>
      </c>
      <c r="Q58" s="6">
        <v>46242</v>
      </c>
      <c r="R58" s="5">
        <v>1</v>
      </c>
      <c r="S58" s="5" t="s">
        <v>776</v>
      </c>
      <c r="T58" s="13">
        <v>46259</v>
      </c>
      <c r="U58" s="13">
        <v>46259</v>
      </c>
      <c r="V58" s="5">
        <v>0</v>
      </c>
      <c r="W58" s="22">
        <f>_xlfn.LET(
_xlpm.H,Table1[[#This Row],[Thời hạn mới nhất (Date)]],
_xlpm.S,Table1[[#This Row],[Snapshot]],
IF(
    ISNUMBER(_xlpm.H),
    INT(_xlpm.H)-INT(_xlpm.S),
    "Không giao thời hạn"
))</f>
        <v>-23</v>
      </c>
      <c r="X58" s="4" t="s">
        <v>777</v>
      </c>
      <c r="Y58" s="5"/>
      <c r="Z58" s="5" t="s">
        <v>35</v>
      </c>
      <c r="AA58" s="5"/>
      <c r="AB58" s="4"/>
      <c r="AC58" s="6"/>
      <c r="AD58" s="6"/>
      <c r="AE58" s="4">
        <v>0</v>
      </c>
      <c r="AF58" s="26" t="str">
        <f>_xlfn.LET(
_xlpm.H,Table1[[#This Row],[Thời hạn mới nhất (Date)]],
_xlpm.D,Table1[[#This Row],[Dự kiến mới nhất (Date)]],
IF(
NOT(ISNUMBER(_xlpm.H)),"Không giao thời hạn",
IF(
NOT(ISNUMBER(_xlpm.D)),"Chưa có dự kiến",
_xlpm.D-_xlpm.H
)))</f>
        <v>Chưa có dự kiến</v>
      </c>
    </row>
    <row r="59" spans="1:32" ht="218.6" x14ac:dyDescent="0.4">
      <c r="A59" s="44">
        <v>46275</v>
      </c>
      <c r="B59" s="4" t="s">
        <v>773</v>
      </c>
      <c r="C59" s="5" t="s">
        <v>688</v>
      </c>
      <c r="D59" s="5">
        <v>44</v>
      </c>
      <c r="E59" s="5" t="str">
        <f>_xlfn.TEXTJOIN("+",TRUE,Table1[[#This Row],[Snapshot]:[ID]])</f>
        <v>46275+DIR-1C043706A17C</v>
      </c>
      <c r="F59" s="5"/>
      <c r="G59" s="5" t="s">
        <v>1784</v>
      </c>
      <c r="H59" s="20" t="s">
        <v>1785</v>
      </c>
      <c r="I59" s="5" t="s">
        <v>774</v>
      </c>
      <c r="J59" s="4" t="s">
        <v>689</v>
      </c>
      <c r="K59" s="4" t="str" cm="1">
        <f t="array" ref="K5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28. Bảo hiểm và Phân phối Bảo hiểm</v>
      </c>
      <c r="L59" s="4" t="s">
        <v>688</v>
      </c>
      <c r="M59" s="4" t="s">
        <v>775</v>
      </c>
      <c r="N59" s="4" t="s">
        <v>1696</v>
      </c>
      <c r="O59" s="4" t="s">
        <v>32</v>
      </c>
      <c r="P59" s="6">
        <v>46242</v>
      </c>
      <c r="Q59" s="6">
        <v>46242</v>
      </c>
      <c r="R59" s="5">
        <v>1</v>
      </c>
      <c r="S59" s="5" t="s">
        <v>776</v>
      </c>
      <c r="T59" s="13">
        <v>46259</v>
      </c>
      <c r="U59" s="13">
        <v>46259</v>
      </c>
      <c r="V59" s="5">
        <v>0</v>
      </c>
      <c r="W59" s="22">
        <f>_xlfn.LET(
_xlpm.H,Table1[[#This Row],[Thời hạn mới nhất (Date)]],
_xlpm.S,Table1[[#This Row],[Snapshot]],
IF(
    ISNUMBER(_xlpm.H),
    INT(_xlpm.H)-INT(_xlpm.S),
    "Không giao thời hạn"
))</f>
        <v>-16</v>
      </c>
      <c r="X59" s="4" t="s">
        <v>777</v>
      </c>
      <c r="Y59" s="5"/>
      <c r="Z59" s="5" t="s">
        <v>35</v>
      </c>
      <c r="AA59" s="5"/>
      <c r="AB59" s="4"/>
      <c r="AC59" s="6"/>
      <c r="AD59" s="6"/>
      <c r="AE59" s="4">
        <v>0</v>
      </c>
      <c r="AF59" s="26" t="str">
        <f>_xlfn.LET(
_xlpm.H,Table1[[#This Row],[Thời hạn mới nhất (Date)]],
_xlpm.D,Table1[[#This Row],[Dự kiến mới nhất (Date)]],
IF(
NOT(ISNUMBER(_xlpm.H)),"Không giao thời hạn",
IF(
NOT(ISNUMBER(_xlpm.D)),"Chưa có dự kiến",
_xlpm.D-_xlpm.H
)))</f>
        <v>Chưa có dự kiến</v>
      </c>
    </row>
    <row r="60" spans="1:32" ht="58.3" x14ac:dyDescent="0.4">
      <c r="A60" s="44">
        <v>46282</v>
      </c>
      <c r="B60" s="4" t="s">
        <v>1002</v>
      </c>
      <c r="C60" s="5" t="s">
        <v>888</v>
      </c>
      <c r="D60" s="5">
        <v>20</v>
      </c>
      <c r="E60" s="5" t="str">
        <f>_xlfn.TEXTJOIN("+",TRUE,Table1[[#This Row],[Snapshot]:[ID]])</f>
        <v>46282+DIR-1CD19D60D316</v>
      </c>
      <c r="F60" s="5"/>
      <c r="G60" s="5" t="s">
        <v>1282</v>
      </c>
      <c r="H60" s="5" t="s">
        <v>1282</v>
      </c>
      <c r="I60" s="5" t="s">
        <v>85</v>
      </c>
      <c r="J60" s="4" t="s">
        <v>30</v>
      </c>
      <c r="K60" s="4" t="str" cm="1">
        <f t="array" ref="K6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60" s="4" t="s">
        <v>888</v>
      </c>
      <c r="M60" s="4" t="s">
        <v>1003</v>
      </c>
      <c r="N60" s="4" t="s">
        <v>1710</v>
      </c>
      <c r="O60" s="4" t="s">
        <v>906</v>
      </c>
      <c r="P60" s="6">
        <v>46277</v>
      </c>
      <c r="Q60" s="6">
        <v>46277</v>
      </c>
      <c r="R60" s="5">
        <v>1</v>
      </c>
      <c r="S60" s="5"/>
      <c r="T60" s="13"/>
      <c r="U60" s="13"/>
      <c r="V60" s="5">
        <v>0</v>
      </c>
      <c r="W60" s="22" t="str">
        <f>_xlfn.LET(
_xlpm.H,Table1[[#This Row],[Thời hạn mới nhất (Date)]],
_xlpm.S,Table1[[#This Row],[Snapshot]],
IF(
    ISNUMBER(_xlpm.H),
    INT(_xlpm.H)-INT(_xlpm.S),
    "Không giao thời hạn"
))</f>
        <v>Không giao thời hạn</v>
      </c>
      <c r="X60" s="4"/>
      <c r="Y60" s="5"/>
      <c r="Z60" s="5"/>
      <c r="AA60" s="5"/>
      <c r="AB60" s="4"/>
      <c r="AC60" s="6"/>
      <c r="AD60" s="6"/>
      <c r="AE60" s="4">
        <v>0</v>
      </c>
      <c r="AF60" s="26" t="str">
        <f>_xlfn.LET(
_xlpm.H,Table1[[#This Row],[Thời hạn mới nhất (Date)]],
_xlpm.D,Table1[[#This Row],[Dự kiến mới nhất (Date)]],
IF(
NOT(ISNUMBER(_xlpm.H)),"Không giao thời hạn",
IF(
NOT(ISNUMBER(_xlpm.D)),"Chưa có dự kiến",
_xlpm.D-_xlpm.H
)))</f>
        <v>Không giao thời hạn</v>
      </c>
    </row>
    <row r="61" spans="1:32" ht="72.900000000000006" x14ac:dyDescent="0.4">
      <c r="A61" s="44">
        <v>46275</v>
      </c>
      <c r="B61" s="4" t="s">
        <v>763</v>
      </c>
      <c r="C61" s="5" t="s">
        <v>688</v>
      </c>
      <c r="D61" s="5">
        <v>41</v>
      </c>
      <c r="E61" s="5" t="str">
        <f>_xlfn.TEXTJOIN("+",TRUE,Table1[[#This Row],[Snapshot]:[ID]])</f>
        <v>46275+DIR-1D76B18C6F1C</v>
      </c>
      <c r="F61" s="5"/>
      <c r="G61" s="5" t="s">
        <v>1283</v>
      </c>
      <c r="H61" s="5" t="s">
        <v>1283</v>
      </c>
      <c r="I61" s="5" t="s">
        <v>163</v>
      </c>
      <c r="J61" s="4" t="s">
        <v>689</v>
      </c>
      <c r="K61" s="4" t="str" cm="1">
        <f t="array" ref="K6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61" s="4" t="s">
        <v>688</v>
      </c>
      <c r="M61" s="4" t="s">
        <v>764</v>
      </c>
      <c r="N61" s="4" t="s">
        <v>1696</v>
      </c>
      <c r="O61" s="4" t="s">
        <v>71</v>
      </c>
      <c r="P61" s="13">
        <v>46235</v>
      </c>
      <c r="Q61" s="13">
        <v>46235</v>
      </c>
      <c r="R61" s="5">
        <v>1</v>
      </c>
      <c r="S61" s="5" t="s">
        <v>77</v>
      </c>
      <c r="T61" s="13">
        <v>46295</v>
      </c>
      <c r="U61" s="13">
        <v>46295</v>
      </c>
      <c r="V61" s="5">
        <v>0</v>
      </c>
      <c r="W61" s="22">
        <f>_xlfn.LET(
_xlpm.H,Table1[[#This Row],[Thời hạn mới nhất (Date)]],
_xlpm.S,Table1[[#This Row],[Snapshot]],
IF(
    ISNUMBER(_xlpm.H),
    INT(_xlpm.H)-INT(_xlpm.S),
    "Không giao thời hạn"
))</f>
        <v>20</v>
      </c>
      <c r="X61" s="4" t="s">
        <v>765</v>
      </c>
      <c r="Y61" s="5" t="s">
        <v>35</v>
      </c>
      <c r="Z61" s="5"/>
      <c r="AA61" s="5"/>
      <c r="AB61" s="4"/>
      <c r="AC61" s="6"/>
      <c r="AD61" s="6"/>
      <c r="AE61" s="4">
        <v>0</v>
      </c>
      <c r="AF61" s="26" t="str">
        <f>_xlfn.LET(
_xlpm.H,Table1[[#This Row],[Thời hạn mới nhất (Date)]],
_xlpm.D,Table1[[#This Row],[Dự kiến mới nhất (Date)]],
IF(
NOT(ISNUMBER(_xlpm.H)),"Không giao thời hạn",
IF(
NOT(ISNUMBER(_xlpm.D)),"Chưa có dự kiến",
_xlpm.D-_xlpm.H
)))</f>
        <v>Chưa có dự kiến</v>
      </c>
    </row>
    <row r="62" spans="1:32" ht="145.75" x14ac:dyDescent="0.4">
      <c r="A62" s="44">
        <v>46282</v>
      </c>
      <c r="B62" s="4" t="s">
        <v>896</v>
      </c>
      <c r="C62" s="5" t="s">
        <v>888</v>
      </c>
      <c r="D62" s="5">
        <v>15</v>
      </c>
      <c r="E62" s="5" t="str">
        <f>_xlfn.TEXTJOIN("+",TRUE,Table1[[#This Row],[Snapshot]:[ID]])</f>
        <v>46282+DIR-1E9A8A716D90</v>
      </c>
      <c r="F62" s="5"/>
      <c r="G62" s="5" t="s">
        <v>1786</v>
      </c>
      <c r="H62" s="20" t="s">
        <v>1787</v>
      </c>
      <c r="I62" s="5" t="s">
        <v>57</v>
      </c>
      <c r="J62" s="4" t="s">
        <v>30</v>
      </c>
      <c r="K62" s="4" t="str" cm="1">
        <f t="array" ref="K6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18. Quy trình Phát triển và Ra mắt Sản phẩm</v>
      </c>
      <c r="L62" s="4" t="s">
        <v>888</v>
      </c>
      <c r="M62" s="4" t="s">
        <v>897</v>
      </c>
      <c r="N62" s="4" t="s">
        <v>1711</v>
      </c>
      <c r="O62" s="4" t="s">
        <v>275</v>
      </c>
      <c r="P62" s="6">
        <v>46256</v>
      </c>
      <c r="Q62" s="6">
        <v>46256</v>
      </c>
      <c r="R62" s="5">
        <v>1</v>
      </c>
      <c r="S62" s="5" t="s">
        <v>898</v>
      </c>
      <c r="T62" s="13">
        <v>46262</v>
      </c>
      <c r="U62" s="13">
        <v>46262</v>
      </c>
      <c r="V62" s="5">
        <v>0</v>
      </c>
      <c r="W62" s="22">
        <f>_xlfn.LET(
_xlpm.H,Table1[[#This Row],[Thời hạn mới nhất (Date)]],
_xlpm.S,Table1[[#This Row],[Snapshot]],
IF(
    ISNUMBER(_xlpm.H),
    INT(_xlpm.H)-INT(_xlpm.S),
    "Không giao thời hạn"
))</f>
        <v>-20</v>
      </c>
      <c r="X62" s="4" t="s">
        <v>322</v>
      </c>
      <c r="Y62" s="5"/>
      <c r="Z62" s="5" t="s">
        <v>35</v>
      </c>
      <c r="AA62" s="5"/>
      <c r="AB62" s="4"/>
      <c r="AC62" s="6"/>
      <c r="AD62" s="6"/>
      <c r="AE62" s="4">
        <v>0</v>
      </c>
      <c r="AF62" s="26" t="str">
        <f>_xlfn.LET(
_xlpm.H,Table1[[#This Row],[Thời hạn mới nhất (Date)]],
_xlpm.D,Table1[[#This Row],[Dự kiến mới nhất (Date)]],
IF(
NOT(ISNUMBER(_xlpm.H)),"Không giao thời hạn",
IF(
NOT(ISNUMBER(_xlpm.D)),"Chưa có dự kiến",
_xlpm.D-_xlpm.H
)))</f>
        <v>Chưa có dự kiến</v>
      </c>
    </row>
    <row r="63" spans="1:32" ht="145.75" x14ac:dyDescent="0.4">
      <c r="A63" s="44">
        <v>46275</v>
      </c>
      <c r="B63" s="4" t="s">
        <v>896</v>
      </c>
      <c r="C63" s="5" t="s">
        <v>888</v>
      </c>
      <c r="D63" s="5">
        <v>16</v>
      </c>
      <c r="E63" s="5" t="str">
        <f>_xlfn.TEXTJOIN("+",TRUE,Table1[[#This Row],[Snapshot]:[ID]])</f>
        <v>46275+DIR-1E9A8A716D90</v>
      </c>
      <c r="F63" s="5"/>
      <c r="G63" s="5" t="s">
        <v>1788</v>
      </c>
      <c r="H63" s="20" t="s">
        <v>1789</v>
      </c>
      <c r="I63" s="5" t="s">
        <v>63</v>
      </c>
      <c r="J63" s="4" t="s">
        <v>30</v>
      </c>
      <c r="K63" s="4" t="str" cm="1">
        <f t="array" ref="K6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18. Quy trình Phát triển và Ra mắt Sản phẩm</v>
      </c>
      <c r="L63" s="4" t="s">
        <v>888</v>
      </c>
      <c r="M63" s="4" t="s">
        <v>897</v>
      </c>
      <c r="N63" s="4" t="s">
        <v>1711</v>
      </c>
      <c r="O63" s="4" t="s">
        <v>275</v>
      </c>
      <c r="P63" s="6">
        <v>46256</v>
      </c>
      <c r="Q63" s="6">
        <v>46256</v>
      </c>
      <c r="R63" s="5">
        <v>1</v>
      </c>
      <c r="S63" s="5" t="s">
        <v>898</v>
      </c>
      <c r="T63" s="13">
        <v>46262</v>
      </c>
      <c r="U63" s="13">
        <v>46262</v>
      </c>
      <c r="V63" s="5">
        <v>0</v>
      </c>
      <c r="W63" s="22">
        <f>_xlfn.LET(
_xlpm.H,Table1[[#This Row],[Thời hạn mới nhất (Date)]],
_xlpm.S,Table1[[#This Row],[Snapshot]],
IF(
    ISNUMBER(_xlpm.H),
    INT(_xlpm.H)-INT(_xlpm.S),
    "Không giao thời hạn"
))</f>
        <v>-13</v>
      </c>
      <c r="X63" s="4" t="s">
        <v>322</v>
      </c>
      <c r="Y63" s="5"/>
      <c r="Z63" s="5" t="s">
        <v>35</v>
      </c>
      <c r="AA63" s="5"/>
      <c r="AB63" s="4"/>
      <c r="AC63" s="6"/>
      <c r="AD63" s="6"/>
      <c r="AE63" s="4">
        <v>0</v>
      </c>
      <c r="AF63" s="26" t="str">
        <f>_xlfn.LET(
_xlpm.H,Table1[[#This Row],[Thời hạn mới nhất (Date)]],
_xlpm.D,Table1[[#This Row],[Dự kiến mới nhất (Date)]],
IF(
NOT(ISNUMBER(_xlpm.H)),"Không giao thời hạn",
IF(
NOT(ISNUMBER(_xlpm.D)),"Chưa có dự kiến",
_xlpm.D-_xlpm.H
)))</f>
        <v>Chưa có dự kiến</v>
      </c>
    </row>
    <row r="64" spans="1:32" ht="145.75" x14ac:dyDescent="0.4">
      <c r="A64" s="44">
        <v>46282</v>
      </c>
      <c r="B64" s="4" t="s">
        <v>416</v>
      </c>
      <c r="C64" s="5" t="s">
        <v>352</v>
      </c>
      <c r="D64" s="5">
        <v>29</v>
      </c>
      <c r="E64" s="5" t="str">
        <f>_xlfn.TEXTJOIN("+",TRUE,Table1[[#This Row],[Snapshot]:[ID]])</f>
        <v>46282+DIR-1F0BBE02D5C2</v>
      </c>
      <c r="F64" s="5"/>
      <c r="G64" s="5" t="s">
        <v>1790</v>
      </c>
      <c r="H64" s="20" t="s">
        <v>1791</v>
      </c>
      <c r="I64" s="5" t="s">
        <v>125</v>
      </c>
      <c r="J64" s="4" t="s">
        <v>30</v>
      </c>
      <c r="K64" s="4" t="str" cm="1">
        <f t="array" ref="K6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64" s="4" t="s">
        <v>352</v>
      </c>
      <c r="M64" s="4" t="s">
        <v>417</v>
      </c>
      <c r="N64" s="4" t="s">
        <v>1702</v>
      </c>
      <c r="O64" s="4" t="s">
        <v>191</v>
      </c>
      <c r="P64" s="6">
        <v>46262</v>
      </c>
      <c r="Q64" s="6">
        <v>46262</v>
      </c>
      <c r="R64" s="5">
        <v>1</v>
      </c>
      <c r="S64" s="5" t="s">
        <v>418</v>
      </c>
      <c r="T64" s="13">
        <v>46305</v>
      </c>
      <c r="U64" s="13">
        <v>46305</v>
      </c>
      <c r="V64" s="5">
        <v>0</v>
      </c>
      <c r="W64" s="22">
        <f>_xlfn.LET(
_xlpm.H,Table1[[#This Row],[Thời hạn mới nhất (Date)]],
_xlpm.S,Table1[[#This Row],[Snapshot]],
IF(
    ISNUMBER(_xlpm.H),
    INT(_xlpm.H)-INT(_xlpm.S),
    "Không giao thời hạn"
))</f>
        <v>23</v>
      </c>
      <c r="X64" s="4" t="s">
        <v>419</v>
      </c>
      <c r="Y64" s="5"/>
      <c r="Z64" s="5" t="s">
        <v>35</v>
      </c>
      <c r="AA64" s="5"/>
      <c r="AB64" s="4"/>
      <c r="AC64" s="6"/>
      <c r="AD64" s="6"/>
      <c r="AE64" s="4">
        <v>0</v>
      </c>
      <c r="AF64" s="26" t="str">
        <f>_xlfn.LET(
_xlpm.H,Table1[[#This Row],[Thời hạn mới nhất (Date)]],
_xlpm.D,Table1[[#This Row],[Dự kiến mới nhất (Date)]],
IF(
NOT(ISNUMBER(_xlpm.H)),"Không giao thời hạn",
IF(
NOT(ISNUMBER(_xlpm.D)),"Chưa có dự kiến",
_xlpm.D-_xlpm.H
)))</f>
        <v>Chưa có dự kiến</v>
      </c>
    </row>
    <row r="65" spans="1:32" ht="174.9" x14ac:dyDescent="0.4">
      <c r="A65" s="44">
        <v>46275</v>
      </c>
      <c r="B65" s="4" t="s">
        <v>416</v>
      </c>
      <c r="C65" s="5" t="s">
        <v>352</v>
      </c>
      <c r="D65" s="5">
        <v>30</v>
      </c>
      <c r="E65" s="5" t="str">
        <f>_xlfn.TEXTJOIN("+",TRUE,Table1[[#This Row],[Snapshot]:[ID]])</f>
        <v>46275+DIR-1F0BBE02D5C2</v>
      </c>
      <c r="F65" s="5"/>
      <c r="G65" s="5" t="s">
        <v>1792</v>
      </c>
      <c r="H65" s="20" t="s">
        <v>1793</v>
      </c>
      <c r="I65" s="5" t="s">
        <v>130</v>
      </c>
      <c r="J65" s="4" t="s">
        <v>30</v>
      </c>
      <c r="K65" s="4" t="str" cm="1">
        <f t="array" ref="K6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65" s="4" t="s">
        <v>352</v>
      </c>
      <c r="M65" s="4" t="s">
        <v>417</v>
      </c>
      <c r="N65" s="4" t="s">
        <v>1702</v>
      </c>
      <c r="O65" s="4" t="s">
        <v>191</v>
      </c>
      <c r="P65" s="6">
        <v>46262</v>
      </c>
      <c r="Q65" s="6">
        <v>46262</v>
      </c>
      <c r="R65" s="5">
        <v>1</v>
      </c>
      <c r="S65" s="5" t="s">
        <v>418</v>
      </c>
      <c r="T65" s="13">
        <v>46305</v>
      </c>
      <c r="U65" s="13">
        <v>46305</v>
      </c>
      <c r="V65" s="5">
        <v>0</v>
      </c>
      <c r="W65" s="22">
        <f>_xlfn.LET(
_xlpm.H,Table1[[#This Row],[Thời hạn mới nhất (Date)]],
_xlpm.S,Table1[[#This Row],[Snapshot]],
IF(
    ISNUMBER(_xlpm.H),
    INT(_xlpm.H)-INT(_xlpm.S),
    "Không giao thời hạn"
))</f>
        <v>30</v>
      </c>
      <c r="X65" s="4" t="s">
        <v>419</v>
      </c>
      <c r="Y65" s="5"/>
      <c r="Z65" s="5"/>
      <c r="AA65" s="5"/>
      <c r="AB65" s="4"/>
      <c r="AC65" s="6"/>
      <c r="AD65" s="6"/>
      <c r="AE65" s="4">
        <v>0</v>
      </c>
      <c r="AF65" s="26" t="str">
        <f>_xlfn.LET(
_xlpm.H,Table1[[#This Row],[Thời hạn mới nhất (Date)]],
_xlpm.D,Table1[[#This Row],[Dự kiến mới nhất (Date)]],
IF(
NOT(ISNUMBER(_xlpm.H)),"Không giao thời hạn",
IF(
NOT(ISNUMBER(_xlpm.D)),"Chưa có dự kiến",
_xlpm.D-_xlpm.H
)))</f>
        <v>Chưa có dự kiến</v>
      </c>
    </row>
    <row r="66" spans="1:32" ht="145.75" x14ac:dyDescent="0.4">
      <c r="A66" s="44">
        <v>46282</v>
      </c>
      <c r="B66" s="4" t="s">
        <v>671</v>
      </c>
      <c r="C66" s="5" t="s">
        <v>607</v>
      </c>
      <c r="D66" s="5">
        <v>34</v>
      </c>
      <c r="E66" s="5" t="str">
        <f>_xlfn.TEXTJOIN("+",TRUE,Table1[[#This Row],[Snapshot]:[ID]])</f>
        <v>46282+DIR-1F79B95CED3D</v>
      </c>
      <c r="F66" s="5"/>
      <c r="G66" s="5" t="s">
        <v>1386</v>
      </c>
      <c r="H66" s="20" t="s">
        <v>1387</v>
      </c>
      <c r="I66" s="5" t="s">
        <v>85</v>
      </c>
      <c r="J66" s="4" t="s">
        <v>200</v>
      </c>
      <c r="K66" s="4" t="str" cm="1">
        <f t="array" ref="K6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66" s="4" t="s">
        <v>607</v>
      </c>
      <c r="M66" s="4" t="s">
        <v>672</v>
      </c>
      <c r="N66" s="4" t="s">
        <v>1700</v>
      </c>
      <c r="O66" s="4" t="s">
        <v>673</v>
      </c>
      <c r="P66" s="6">
        <v>45836</v>
      </c>
      <c r="Q66" s="6">
        <v>45836</v>
      </c>
      <c r="R66" s="5">
        <v>1</v>
      </c>
      <c r="S66" s="5"/>
      <c r="T66" s="13"/>
      <c r="U66" s="13"/>
      <c r="V66" s="5">
        <v>0</v>
      </c>
      <c r="W66" s="22" t="str">
        <f>_xlfn.LET(
_xlpm.H,Table1[[#This Row],[Thời hạn mới nhất (Date)]],
_xlpm.S,Table1[[#This Row],[Snapshot]],
IF(
    ISNUMBER(_xlpm.H),
    INT(_xlpm.H)-INT(_xlpm.S),
    "Không giao thời hạn"
))</f>
        <v>Không giao thời hạn</v>
      </c>
      <c r="X66" s="4" t="s">
        <v>674</v>
      </c>
      <c r="Y66" s="5"/>
      <c r="Z66" s="5" t="s">
        <v>35</v>
      </c>
      <c r="AA66" s="5"/>
      <c r="AB66" s="4" t="s">
        <v>61</v>
      </c>
      <c r="AC66" s="6"/>
      <c r="AD66" s="6"/>
      <c r="AE66" s="4">
        <v>0</v>
      </c>
      <c r="AF66" s="26" t="str">
        <f>_xlfn.LET(
_xlpm.H,Table1[[#This Row],[Thời hạn mới nhất (Date)]],
_xlpm.D,Table1[[#This Row],[Dự kiến mới nhất (Date)]],
IF(
NOT(ISNUMBER(_xlpm.H)),"Không giao thời hạn",
IF(
NOT(ISNUMBER(_xlpm.D)),"Chưa có dự kiến",
_xlpm.D-_xlpm.H
)))</f>
        <v>Không giao thời hạn</v>
      </c>
    </row>
    <row r="67" spans="1:32" ht="145.75" x14ac:dyDescent="0.4">
      <c r="A67" s="44">
        <v>46275</v>
      </c>
      <c r="B67" s="4" t="s">
        <v>671</v>
      </c>
      <c r="C67" s="5" t="s">
        <v>607</v>
      </c>
      <c r="D67" s="5">
        <v>34</v>
      </c>
      <c r="E67" s="5" t="str">
        <f>_xlfn.TEXTJOIN("+",TRUE,Table1[[#This Row],[Snapshot]:[ID]])</f>
        <v>46275+DIR-1F79B95CED3D</v>
      </c>
      <c r="F67" s="5"/>
      <c r="G67" s="5" t="s">
        <v>1386</v>
      </c>
      <c r="H67" s="20" t="s">
        <v>1387</v>
      </c>
      <c r="I67" s="5" t="s">
        <v>85</v>
      </c>
      <c r="J67" s="4" t="s">
        <v>200</v>
      </c>
      <c r="K67" s="4" t="str" cm="1">
        <f t="array" ref="K6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67" s="4" t="s">
        <v>607</v>
      </c>
      <c r="M67" s="4" t="s">
        <v>672</v>
      </c>
      <c r="N67" s="4" t="s">
        <v>1700</v>
      </c>
      <c r="O67" s="4" t="s">
        <v>673</v>
      </c>
      <c r="P67" s="6">
        <v>45836</v>
      </c>
      <c r="Q67" s="6">
        <v>45836</v>
      </c>
      <c r="R67" s="5">
        <v>1</v>
      </c>
      <c r="S67" s="5"/>
      <c r="T67" s="13"/>
      <c r="U67" s="13"/>
      <c r="V67" s="5">
        <v>0</v>
      </c>
      <c r="W67" s="22" t="str">
        <f>_xlfn.LET(
_xlpm.H,Table1[[#This Row],[Thời hạn mới nhất (Date)]],
_xlpm.S,Table1[[#This Row],[Snapshot]],
IF(
    ISNUMBER(_xlpm.H),
    INT(_xlpm.H)-INT(_xlpm.S),
    "Không giao thời hạn"
))</f>
        <v>Không giao thời hạn</v>
      </c>
      <c r="X67" s="4" t="s">
        <v>674</v>
      </c>
      <c r="Y67" s="5"/>
      <c r="Z67" s="5" t="s">
        <v>35</v>
      </c>
      <c r="AA67" s="5"/>
      <c r="AB67" s="4" t="s">
        <v>61</v>
      </c>
      <c r="AC67" s="6"/>
      <c r="AD67" s="6"/>
      <c r="AE67" s="4">
        <v>0</v>
      </c>
      <c r="AF67" s="26" t="str">
        <f>_xlfn.LET(
_xlpm.H,Table1[[#This Row],[Thời hạn mới nhất (Date)]],
_xlpm.D,Table1[[#This Row],[Dự kiến mới nhất (Date)]],
IF(
NOT(ISNUMBER(_xlpm.H)),"Không giao thời hạn",
IF(
NOT(ISNUMBER(_xlpm.D)),"Chưa có dự kiến",
_xlpm.D-_xlpm.H
)))</f>
        <v>Không giao thời hạn</v>
      </c>
    </row>
    <row r="68" spans="1:32" ht="160.30000000000001" x14ac:dyDescent="0.4">
      <c r="A68" s="44">
        <v>46282</v>
      </c>
      <c r="B68" s="4" t="s">
        <v>949</v>
      </c>
      <c r="C68" s="5" t="s">
        <v>532</v>
      </c>
      <c r="D68" s="5">
        <v>22</v>
      </c>
      <c r="E68" s="5" t="str">
        <f>_xlfn.TEXTJOIN("+",TRUE,Table1[[#This Row],[Snapshot]:[ID]])</f>
        <v>46282+DIR-1F9D23BD3FDC</v>
      </c>
      <c r="F68" s="5"/>
      <c r="G68" s="5" t="s">
        <v>1794</v>
      </c>
      <c r="H68" s="20" t="s">
        <v>1795</v>
      </c>
      <c r="I68" s="5" t="s">
        <v>93</v>
      </c>
      <c r="J68" s="4" t="s">
        <v>30</v>
      </c>
      <c r="K68" s="4" t="str" cm="1">
        <f t="array" ref="K6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11. Ngân sách, Chi phí và Thẩm quyền Tài chính</v>
      </c>
      <c r="L68" s="4" t="s">
        <v>532</v>
      </c>
      <c r="M68" s="4" t="s">
        <v>950</v>
      </c>
      <c r="N68" s="4" t="s">
        <v>1712</v>
      </c>
      <c r="O68" s="4" t="s">
        <v>906</v>
      </c>
      <c r="P68" s="6">
        <v>46277</v>
      </c>
      <c r="Q68" s="6">
        <v>46277</v>
      </c>
      <c r="R68" s="5">
        <v>1</v>
      </c>
      <c r="S68" s="5" t="s">
        <v>951</v>
      </c>
      <c r="T68" s="13">
        <v>46283</v>
      </c>
      <c r="U68" s="13">
        <v>46283</v>
      </c>
      <c r="V68" s="5">
        <v>0</v>
      </c>
      <c r="W68" s="22">
        <f>_xlfn.LET(
_xlpm.H,Table1[[#This Row],[Thời hạn mới nhất (Date)]],
_xlpm.S,Table1[[#This Row],[Snapshot]],
IF(
    ISNUMBER(_xlpm.H),
    INT(_xlpm.H)-INT(_xlpm.S),
    "Không giao thời hạn"
))</f>
        <v>1</v>
      </c>
      <c r="X68" s="4" t="s">
        <v>952</v>
      </c>
      <c r="Y68" s="5"/>
      <c r="Z68" s="5" t="s">
        <v>35</v>
      </c>
      <c r="AA68" s="5"/>
      <c r="AB68" s="4"/>
      <c r="AC68" s="6"/>
      <c r="AD68" s="6"/>
      <c r="AE68" s="4">
        <v>0</v>
      </c>
      <c r="AF68" s="26" t="str">
        <f>_xlfn.LET(
_xlpm.H,Table1[[#This Row],[Thời hạn mới nhất (Date)]],
_xlpm.D,Table1[[#This Row],[Dự kiến mới nhất (Date)]],
IF(
NOT(ISNUMBER(_xlpm.H)),"Không giao thời hạn",
IF(
NOT(ISNUMBER(_xlpm.D)),"Chưa có dự kiến",
_xlpm.D-_xlpm.H
)))</f>
        <v>Chưa có dự kiến</v>
      </c>
    </row>
    <row r="69" spans="1:32" ht="116.6" x14ac:dyDescent="0.4">
      <c r="A69" s="44">
        <v>46282</v>
      </c>
      <c r="B69" s="4" t="s">
        <v>846</v>
      </c>
      <c r="C69" s="5" t="s">
        <v>688</v>
      </c>
      <c r="D69" s="5">
        <v>66</v>
      </c>
      <c r="E69" s="5" t="str">
        <f>_xlfn.TEXTJOIN("+",TRUE,Table1[[#This Row],[Snapshot]:[ID]])</f>
        <v>46282+DIR-1FB03F6B5948</v>
      </c>
      <c r="F69" s="5"/>
      <c r="G69" s="5" t="s">
        <v>1796</v>
      </c>
      <c r="H69" s="20" t="s">
        <v>1797</v>
      </c>
      <c r="I69" s="5" t="s">
        <v>52</v>
      </c>
      <c r="J69" s="4" t="s">
        <v>200</v>
      </c>
      <c r="K69" s="4" t="str" cm="1">
        <f t="array" ref="K6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69" s="4" t="s">
        <v>688</v>
      </c>
      <c r="M69" s="4" t="s">
        <v>847</v>
      </c>
      <c r="N69" s="4" t="s">
        <v>1696</v>
      </c>
      <c r="O69" s="4" t="s">
        <v>132</v>
      </c>
      <c r="P69" s="6">
        <v>46174</v>
      </c>
      <c r="Q69" s="6">
        <v>46174</v>
      </c>
      <c r="R69" s="5">
        <v>1</v>
      </c>
      <c r="S69" s="5"/>
      <c r="T69" s="13"/>
      <c r="U69" s="13"/>
      <c r="V69" s="5">
        <v>0</v>
      </c>
      <c r="W69" s="22" t="str">
        <f>_xlfn.LET(
_xlpm.H,Table1[[#This Row],[Thời hạn mới nhất (Date)]],
_xlpm.S,Table1[[#This Row],[Snapshot]],
IF(
    ISNUMBER(_xlpm.H),
    INT(_xlpm.H)-INT(_xlpm.S),
    "Không giao thời hạn"
))</f>
        <v>Không giao thời hạn</v>
      </c>
      <c r="X69" s="4" t="s">
        <v>848</v>
      </c>
      <c r="Y69" s="5"/>
      <c r="Z69" s="5" t="s">
        <v>35</v>
      </c>
      <c r="AA69" s="5"/>
      <c r="AB69" s="4" t="s">
        <v>849</v>
      </c>
      <c r="AC69" s="6"/>
      <c r="AD69" s="6"/>
      <c r="AE69" s="4">
        <v>0</v>
      </c>
      <c r="AF69" s="26" t="str">
        <f>_xlfn.LET(
_xlpm.H,Table1[[#This Row],[Thời hạn mới nhất (Date)]],
_xlpm.D,Table1[[#This Row],[Dự kiến mới nhất (Date)]],
IF(
NOT(ISNUMBER(_xlpm.H)),"Không giao thời hạn",
IF(
NOT(ISNUMBER(_xlpm.D)),"Chưa có dự kiến",
_xlpm.D-_xlpm.H
)))</f>
        <v>Không giao thời hạn</v>
      </c>
    </row>
    <row r="70" spans="1:32" ht="160.30000000000001" x14ac:dyDescent="0.4">
      <c r="A70" s="44">
        <v>46275</v>
      </c>
      <c r="B70" s="4" t="s">
        <v>846</v>
      </c>
      <c r="C70" s="5" t="s">
        <v>688</v>
      </c>
      <c r="D70" s="5">
        <v>65</v>
      </c>
      <c r="E70" s="5" t="str">
        <f>_xlfn.TEXTJOIN("+",TRUE,Table1[[#This Row],[Snapshot]:[ID]])</f>
        <v>46275+DIR-1FB03F6B5948</v>
      </c>
      <c r="F70" s="5"/>
      <c r="G70" s="5" t="s">
        <v>1798</v>
      </c>
      <c r="H70" s="20" t="s">
        <v>1799</v>
      </c>
      <c r="I70" s="5" t="s">
        <v>52</v>
      </c>
      <c r="J70" s="4" t="s">
        <v>200</v>
      </c>
      <c r="K70" s="4" t="str" cm="1">
        <f t="array" ref="K7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70" s="4" t="s">
        <v>688</v>
      </c>
      <c r="M70" s="4" t="s">
        <v>847</v>
      </c>
      <c r="N70" s="4" t="s">
        <v>1696</v>
      </c>
      <c r="O70" s="4" t="s">
        <v>132</v>
      </c>
      <c r="P70" s="6">
        <v>46174</v>
      </c>
      <c r="Q70" s="6">
        <v>46174</v>
      </c>
      <c r="R70" s="5">
        <v>1</v>
      </c>
      <c r="S70" s="5"/>
      <c r="T70" s="13"/>
      <c r="U70" s="13"/>
      <c r="V70" s="5">
        <v>0</v>
      </c>
      <c r="W70" s="22" t="str">
        <f>_xlfn.LET(
_xlpm.H,Table1[[#This Row],[Thời hạn mới nhất (Date)]],
_xlpm.S,Table1[[#This Row],[Snapshot]],
IF(
    ISNUMBER(_xlpm.H),
    INT(_xlpm.H)-INT(_xlpm.S),
    "Không giao thời hạn"
))</f>
        <v>Không giao thời hạn</v>
      </c>
      <c r="X70" s="4" t="s">
        <v>848</v>
      </c>
      <c r="Y70" s="5"/>
      <c r="Z70" s="5" t="s">
        <v>35</v>
      </c>
      <c r="AA70" s="5"/>
      <c r="AB70" s="4" t="s">
        <v>849</v>
      </c>
      <c r="AC70" s="6"/>
      <c r="AD70" s="6"/>
      <c r="AE70" s="4">
        <v>0</v>
      </c>
      <c r="AF70" s="26" t="str">
        <f>_xlfn.LET(
_xlpm.H,Table1[[#This Row],[Thời hạn mới nhất (Date)]],
_xlpm.D,Table1[[#This Row],[Dự kiến mới nhất (Date)]],
IF(
NOT(ISNUMBER(_xlpm.H)),"Không giao thời hạn",
IF(
NOT(ISNUMBER(_xlpm.D)),"Chưa có dự kiến",
_xlpm.D-_xlpm.H
)))</f>
        <v>Không giao thời hạn</v>
      </c>
    </row>
    <row r="71" spans="1:32" ht="174.9" x14ac:dyDescent="0.4">
      <c r="A71" s="44">
        <v>46282</v>
      </c>
      <c r="B71" s="4" t="s">
        <v>489</v>
      </c>
      <c r="C71" s="5" t="s">
        <v>469</v>
      </c>
      <c r="D71" s="5">
        <v>18</v>
      </c>
      <c r="E71" s="5" t="str">
        <f>_xlfn.TEXTJOIN("+",TRUE,Table1[[#This Row],[Snapshot]:[ID]])</f>
        <v>46282+DIR-1FF08436CBD2</v>
      </c>
      <c r="F71" s="5"/>
      <c r="G71" s="5" t="s">
        <v>1318</v>
      </c>
      <c r="H71" s="20" t="s">
        <v>1319</v>
      </c>
      <c r="I71" s="5" t="s">
        <v>69</v>
      </c>
      <c r="J71" s="4" t="s">
        <v>30</v>
      </c>
      <c r="K71" s="4" t="str" cm="1">
        <f t="array" ref="K7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71" s="4" t="s">
        <v>469</v>
      </c>
      <c r="M71" s="4" t="s">
        <v>490</v>
      </c>
      <c r="N71" s="4" t="s">
        <v>1713</v>
      </c>
      <c r="O71" s="4" t="s">
        <v>149</v>
      </c>
      <c r="P71" s="6">
        <v>46195</v>
      </c>
      <c r="Q71" s="6">
        <v>46195</v>
      </c>
      <c r="R71" s="5">
        <v>1</v>
      </c>
      <c r="S71" s="5"/>
      <c r="T71" s="13">
        <v>46203</v>
      </c>
      <c r="U71" s="13">
        <v>46234</v>
      </c>
      <c r="V71" s="5">
        <v>0</v>
      </c>
      <c r="W71" s="22">
        <f>_xlfn.LET(
_xlpm.H,Table1[[#This Row],[Thời hạn mới nhất (Date)]],
_xlpm.S,Table1[[#This Row],[Snapshot]],
IF(
    ISNUMBER(_xlpm.H),
    INT(_xlpm.H)-INT(_xlpm.S),
    "Không giao thời hạn"
))</f>
        <v>-48</v>
      </c>
      <c r="X71" s="4" t="s">
        <v>491</v>
      </c>
      <c r="Y71" s="5"/>
      <c r="Z71" s="5" t="s">
        <v>35</v>
      </c>
      <c r="AA71" s="5"/>
      <c r="AB71" s="4" t="s">
        <v>492</v>
      </c>
      <c r="AC71" s="6"/>
      <c r="AD71" s="6"/>
      <c r="AE71" s="4">
        <v>0</v>
      </c>
      <c r="AF71" s="26" t="str">
        <f>_xlfn.LET(
_xlpm.H,Table1[[#This Row],[Thời hạn mới nhất (Date)]],
_xlpm.D,Table1[[#This Row],[Dự kiến mới nhất (Date)]],
IF(
NOT(ISNUMBER(_xlpm.H)),"Không giao thời hạn",
IF(
NOT(ISNUMBER(_xlpm.D)),"Chưa có dự kiến",
_xlpm.D-_xlpm.H
)))</f>
        <v>Chưa có dự kiến</v>
      </c>
    </row>
    <row r="72" spans="1:32" ht="160.30000000000001" x14ac:dyDescent="0.4">
      <c r="A72" s="44">
        <v>46275</v>
      </c>
      <c r="B72" s="4" t="s">
        <v>489</v>
      </c>
      <c r="C72" s="5" t="s">
        <v>469</v>
      </c>
      <c r="D72" s="5">
        <v>18</v>
      </c>
      <c r="E72" s="5" t="str">
        <f>_xlfn.TEXTJOIN("+",TRUE,Table1[[#This Row],[Snapshot]:[ID]])</f>
        <v>46275+DIR-1FF08436CBD2</v>
      </c>
      <c r="F72" s="5"/>
      <c r="G72" s="5" t="s">
        <v>1482</v>
      </c>
      <c r="H72" s="20" t="s">
        <v>1483</v>
      </c>
      <c r="I72" s="5" t="s">
        <v>69</v>
      </c>
      <c r="J72" s="4" t="s">
        <v>30</v>
      </c>
      <c r="K72" s="4" t="str" cm="1">
        <f t="array" ref="K7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72" s="4" t="s">
        <v>469</v>
      </c>
      <c r="M72" s="4" t="s">
        <v>490</v>
      </c>
      <c r="N72" s="4" t="s">
        <v>1713</v>
      </c>
      <c r="O72" s="4" t="s">
        <v>149</v>
      </c>
      <c r="P72" s="6">
        <v>46195</v>
      </c>
      <c r="Q72" s="6">
        <v>46195</v>
      </c>
      <c r="R72" s="5">
        <v>1</v>
      </c>
      <c r="S72" s="5"/>
      <c r="T72" s="13">
        <v>46203</v>
      </c>
      <c r="U72" s="13">
        <v>46234</v>
      </c>
      <c r="V72" s="5">
        <v>0</v>
      </c>
      <c r="W72" s="22">
        <f>_xlfn.LET(
_xlpm.H,Table1[[#This Row],[Thời hạn mới nhất (Date)]],
_xlpm.S,Table1[[#This Row],[Snapshot]],
IF(
    ISNUMBER(_xlpm.H),
    INT(_xlpm.H)-INT(_xlpm.S),
    "Không giao thời hạn"
))</f>
        <v>-41</v>
      </c>
      <c r="X72" s="4" t="s">
        <v>491</v>
      </c>
      <c r="Y72" s="5"/>
      <c r="Z72" s="5" t="s">
        <v>35</v>
      </c>
      <c r="AA72" s="5"/>
      <c r="AB72" s="4" t="s">
        <v>492</v>
      </c>
      <c r="AC72" s="6"/>
      <c r="AD72" s="6"/>
      <c r="AE72" s="4">
        <v>0</v>
      </c>
      <c r="AF72" s="26" t="str">
        <f>_xlfn.LET(
_xlpm.H,Table1[[#This Row],[Thời hạn mới nhất (Date)]],
_xlpm.D,Table1[[#This Row],[Dự kiến mới nhất (Date)]],
IF(
NOT(ISNUMBER(_xlpm.H)),"Không giao thời hạn",
IF(
NOT(ISNUMBER(_xlpm.D)),"Chưa có dự kiến",
_xlpm.D-_xlpm.H
)))</f>
        <v>Chưa có dự kiến</v>
      </c>
    </row>
    <row r="73" spans="1:32" ht="233.15" x14ac:dyDescent="0.4">
      <c r="A73" s="44">
        <v>46282</v>
      </c>
      <c r="B73" s="4" t="s">
        <v>74</v>
      </c>
      <c r="C73" s="5" t="s">
        <v>44</v>
      </c>
      <c r="D73" s="5">
        <v>18</v>
      </c>
      <c r="E73" s="5" t="str">
        <f>_xlfn.TEXTJOIN("+",TRUE,Table1[[#This Row],[Snapshot]:[ID]])</f>
        <v>46282+DIR-213A32D6F920</v>
      </c>
      <c r="F73" s="5"/>
      <c r="G73" s="5" t="s">
        <v>1300</v>
      </c>
      <c r="H73" s="20" t="s">
        <v>1300</v>
      </c>
      <c r="I73" s="5" t="s">
        <v>75</v>
      </c>
      <c r="J73" s="4" t="s">
        <v>30</v>
      </c>
      <c r="K73" s="4" t="str" cm="1">
        <f t="array" ref="K7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73" s="4" t="s">
        <v>44</v>
      </c>
      <c r="M73" s="4" t="s">
        <v>76</v>
      </c>
      <c r="N73" s="4" t="s">
        <v>1703</v>
      </c>
      <c r="O73" s="4" t="s">
        <v>71</v>
      </c>
      <c r="P73" s="6">
        <v>46235</v>
      </c>
      <c r="Q73" s="6">
        <v>46235</v>
      </c>
      <c r="R73" s="5">
        <v>1</v>
      </c>
      <c r="S73" s="5" t="s">
        <v>77</v>
      </c>
      <c r="T73" s="13">
        <v>46295</v>
      </c>
      <c r="U73" s="13">
        <v>46295</v>
      </c>
      <c r="V73" s="5">
        <v>0</v>
      </c>
      <c r="W73" s="22">
        <f>_xlfn.LET(
_xlpm.H,Table1[[#This Row],[Thời hạn mới nhất (Date)]],
_xlpm.S,Table1[[#This Row],[Snapshot]],
IF(
    ISNUMBER(_xlpm.H),
    INT(_xlpm.H)-INT(_xlpm.S),
    "Không giao thời hạn"
))</f>
        <v>13</v>
      </c>
      <c r="X73" s="4" t="s">
        <v>78</v>
      </c>
      <c r="Y73" s="5"/>
      <c r="Z73" s="5" t="s">
        <v>35</v>
      </c>
      <c r="AA73" s="5"/>
      <c r="AB73" s="4"/>
      <c r="AC73" s="6"/>
      <c r="AD73" s="6"/>
      <c r="AE73" s="4">
        <v>0</v>
      </c>
      <c r="AF73" s="26" t="str">
        <f>_xlfn.LET(
_xlpm.H,Table1[[#This Row],[Thời hạn mới nhất (Date)]],
_xlpm.D,Table1[[#This Row],[Dự kiến mới nhất (Date)]],
IF(
NOT(ISNUMBER(_xlpm.H)),"Không giao thời hạn",
IF(
NOT(ISNUMBER(_xlpm.D)),"Chưa có dự kiến",
_xlpm.D-_xlpm.H
)))</f>
        <v>Chưa có dự kiến</v>
      </c>
    </row>
    <row r="74" spans="1:32" ht="233.15" x14ac:dyDescent="0.4">
      <c r="A74" s="44">
        <v>46275</v>
      </c>
      <c r="B74" s="4" t="s">
        <v>74</v>
      </c>
      <c r="C74" s="5" t="s">
        <v>44</v>
      </c>
      <c r="D74" s="5">
        <v>18</v>
      </c>
      <c r="E74" s="5" t="str">
        <f>_xlfn.TEXTJOIN("+",TRUE,Table1[[#This Row],[Snapshot]:[ID]])</f>
        <v>46275+DIR-213A32D6F920</v>
      </c>
      <c r="F74" s="5"/>
      <c r="G74" s="5" t="s">
        <v>1300</v>
      </c>
      <c r="H74" s="20" t="s">
        <v>1300</v>
      </c>
      <c r="I74" s="5" t="s">
        <v>75</v>
      </c>
      <c r="J74" s="4" t="s">
        <v>30</v>
      </c>
      <c r="K74" s="4" t="str" cm="1">
        <f t="array" ref="K7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74" s="4" t="s">
        <v>44</v>
      </c>
      <c r="M74" s="4" t="s">
        <v>76</v>
      </c>
      <c r="N74" s="4" t="s">
        <v>1703</v>
      </c>
      <c r="O74" s="4" t="s">
        <v>71</v>
      </c>
      <c r="P74" s="6">
        <v>46235</v>
      </c>
      <c r="Q74" s="6">
        <v>46235</v>
      </c>
      <c r="R74" s="5">
        <v>1</v>
      </c>
      <c r="S74" s="5" t="s">
        <v>77</v>
      </c>
      <c r="T74" s="13">
        <v>46295</v>
      </c>
      <c r="U74" s="13">
        <v>46295</v>
      </c>
      <c r="V74" s="5">
        <v>0</v>
      </c>
      <c r="W74" s="22">
        <f>_xlfn.LET(
_xlpm.H,Table1[[#This Row],[Thời hạn mới nhất (Date)]],
_xlpm.S,Table1[[#This Row],[Snapshot]],
IF(
    ISNUMBER(_xlpm.H),
    INT(_xlpm.H)-INT(_xlpm.S),
    "Không giao thời hạn"
))</f>
        <v>20</v>
      </c>
      <c r="X74" s="4" t="s">
        <v>78</v>
      </c>
      <c r="Y74" s="5"/>
      <c r="Z74" s="5" t="s">
        <v>35</v>
      </c>
      <c r="AA74" s="5"/>
      <c r="AB74" s="4"/>
      <c r="AC74" s="6"/>
      <c r="AD74" s="6"/>
      <c r="AE74" s="4">
        <v>0</v>
      </c>
      <c r="AF74" s="26" t="str">
        <f>_xlfn.LET(
_xlpm.H,Table1[[#This Row],[Thời hạn mới nhất (Date)]],
_xlpm.D,Table1[[#This Row],[Dự kiến mới nhất (Date)]],
IF(
NOT(ISNUMBER(_xlpm.H)),"Không giao thời hạn",
IF(
NOT(ISNUMBER(_xlpm.D)),"Chưa có dự kiến",
_xlpm.D-_xlpm.H
)))</f>
        <v>Chưa có dự kiến</v>
      </c>
    </row>
    <row r="75" spans="1:32" ht="189.45" x14ac:dyDescent="0.4">
      <c r="A75" s="44">
        <v>46275</v>
      </c>
      <c r="B75" s="4" t="s">
        <v>110</v>
      </c>
      <c r="C75" s="5" t="s">
        <v>44</v>
      </c>
      <c r="D75" s="5">
        <v>26</v>
      </c>
      <c r="E75" s="5" t="str">
        <f>_xlfn.TEXTJOIN("+",TRUE,Table1[[#This Row],[Snapshot]:[ID]])</f>
        <v>46275+DIR-2161039748E7</v>
      </c>
      <c r="F75" s="5"/>
      <c r="G75" s="5" t="s">
        <v>1428</v>
      </c>
      <c r="H75" s="20" t="s">
        <v>1429</v>
      </c>
      <c r="I75" s="5" t="s">
        <v>111</v>
      </c>
      <c r="J75" s="4" t="s">
        <v>30</v>
      </c>
      <c r="K75" s="4" t="str" cm="1">
        <f t="array" ref="K7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75" s="4" t="s">
        <v>44</v>
      </c>
      <c r="M75" s="4" t="s">
        <v>112</v>
      </c>
      <c r="N75" s="4" t="s">
        <v>1703</v>
      </c>
      <c r="O75" s="4" t="s">
        <v>32</v>
      </c>
      <c r="P75" s="13">
        <v>46242</v>
      </c>
      <c r="Q75" s="13">
        <v>46242</v>
      </c>
      <c r="R75" s="5">
        <v>1</v>
      </c>
      <c r="S75" s="5" t="s">
        <v>33</v>
      </c>
      <c r="T75" s="13">
        <v>46265</v>
      </c>
      <c r="U75" s="13">
        <v>46265</v>
      </c>
      <c r="V75" s="5">
        <v>0</v>
      </c>
      <c r="W75" s="22">
        <f>_xlfn.LET(
_xlpm.H,Table1[[#This Row],[Thời hạn mới nhất (Date)]],
_xlpm.S,Table1[[#This Row],[Snapshot]],
IF(
    ISNUMBER(_xlpm.H),
    INT(_xlpm.H)-INT(_xlpm.S),
    "Không giao thời hạn"
))</f>
        <v>-10</v>
      </c>
      <c r="X75" s="4" t="s">
        <v>113</v>
      </c>
      <c r="Y75" s="5" t="s">
        <v>35</v>
      </c>
      <c r="Z75" s="5"/>
      <c r="AA75" s="5"/>
      <c r="AB75" s="4"/>
      <c r="AC75" s="6"/>
      <c r="AD75" s="6"/>
      <c r="AE75" s="4">
        <v>0</v>
      </c>
      <c r="AF75" s="26" t="str">
        <f>_xlfn.LET(
_xlpm.H,Table1[[#This Row],[Thời hạn mới nhất (Date)]],
_xlpm.D,Table1[[#This Row],[Dự kiến mới nhất (Date)]],
IF(
NOT(ISNUMBER(_xlpm.H)),"Không giao thời hạn",
IF(
NOT(ISNUMBER(_xlpm.D)),"Chưa có dự kiến",
_xlpm.D-_xlpm.H
)))</f>
        <v>Chưa có dự kiến</v>
      </c>
    </row>
    <row r="76" spans="1:32" ht="72.900000000000006" x14ac:dyDescent="0.4">
      <c r="A76" s="44">
        <v>46282</v>
      </c>
      <c r="B76" s="4" t="s">
        <v>157</v>
      </c>
      <c r="C76" s="5" t="s">
        <v>44</v>
      </c>
      <c r="D76" s="5">
        <v>39</v>
      </c>
      <c r="E76" s="5" t="str">
        <f>_xlfn.TEXTJOIN("+",TRUE,Table1[[#This Row],[Snapshot]:[ID]])</f>
        <v>46282+DIR-22687567AC53</v>
      </c>
      <c r="F76" s="5"/>
      <c r="G76" s="5" t="s">
        <v>1299</v>
      </c>
      <c r="H76" s="20" t="s">
        <v>1299</v>
      </c>
      <c r="I76" s="5" t="s">
        <v>774</v>
      </c>
      <c r="J76" s="4" t="s">
        <v>30</v>
      </c>
      <c r="K76" s="4" t="str" cm="1">
        <f t="array" ref="K7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76" s="4" t="s">
        <v>44</v>
      </c>
      <c r="M76" s="4" t="s">
        <v>159</v>
      </c>
      <c r="N76" s="4" t="s">
        <v>1714</v>
      </c>
      <c r="O76" s="4" t="s">
        <v>160</v>
      </c>
      <c r="P76" s="6">
        <v>46214</v>
      </c>
      <c r="Q76" s="6">
        <v>46214</v>
      </c>
      <c r="R76" s="5">
        <v>1</v>
      </c>
      <c r="S76" s="5"/>
      <c r="T76" s="13"/>
      <c r="U76" s="13"/>
      <c r="V76" s="5">
        <v>0</v>
      </c>
      <c r="W76" s="22" t="str">
        <f>_xlfn.LET(
_xlpm.H,Table1[[#This Row],[Thời hạn mới nhất (Date)]],
_xlpm.S,Table1[[#This Row],[Snapshot]],
IF(
    ISNUMBER(_xlpm.H),
    INT(_xlpm.H)-INT(_xlpm.S),
    "Không giao thời hạn"
))</f>
        <v>Không giao thời hạn</v>
      </c>
      <c r="X76" s="4" t="s">
        <v>161</v>
      </c>
      <c r="Y76" s="5"/>
      <c r="Z76" s="5" t="s">
        <v>35</v>
      </c>
      <c r="AA76" s="5"/>
      <c r="AB76" s="4"/>
      <c r="AC76" s="6"/>
      <c r="AD76" s="6"/>
      <c r="AE76" s="4">
        <v>0</v>
      </c>
      <c r="AF76" s="26" t="str">
        <f>_xlfn.LET(
_xlpm.H,Table1[[#This Row],[Thời hạn mới nhất (Date)]],
_xlpm.D,Table1[[#This Row],[Dự kiến mới nhất (Date)]],
IF(
NOT(ISNUMBER(_xlpm.H)),"Không giao thời hạn",
IF(
NOT(ISNUMBER(_xlpm.D)),"Chưa có dự kiến",
_xlpm.D-_xlpm.H
)))</f>
        <v>Không giao thời hạn</v>
      </c>
    </row>
    <row r="77" spans="1:32" ht="72.900000000000006" x14ac:dyDescent="0.4">
      <c r="A77" s="44">
        <v>46275</v>
      </c>
      <c r="B77" s="4" t="s">
        <v>157</v>
      </c>
      <c r="C77" s="5" t="s">
        <v>44</v>
      </c>
      <c r="D77" s="5">
        <v>35</v>
      </c>
      <c r="E77" s="5" t="str">
        <f>_xlfn.TEXTJOIN("+",TRUE,Table1[[#This Row],[Snapshot]:[ID]])</f>
        <v>46275+DIR-22687567AC53</v>
      </c>
      <c r="F77" s="5"/>
      <c r="G77" s="5" t="s">
        <v>1299</v>
      </c>
      <c r="H77" s="20" t="s">
        <v>1299</v>
      </c>
      <c r="I77" s="5" t="s">
        <v>158</v>
      </c>
      <c r="J77" s="4" t="s">
        <v>30</v>
      </c>
      <c r="K77" s="4" t="str" cm="1">
        <f t="array" ref="K7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77" s="4" t="s">
        <v>44</v>
      </c>
      <c r="M77" s="4" t="s">
        <v>159</v>
      </c>
      <c r="N77" s="4" t="s">
        <v>1714</v>
      </c>
      <c r="O77" s="4" t="s">
        <v>160</v>
      </c>
      <c r="P77" s="6">
        <v>46214</v>
      </c>
      <c r="Q77" s="6">
        <v>46214</v>
      </c>
      <c r="R77" s="5">
        <v>1</v>
      </c>
      <c r="S77" s="5"/>
      <c r="T77" s="13"/>
      <c r="U77" s="13"/>
      <c r="V77" s="5">
        <v>0</v>
      </c>
      <c r="W77" s="22" t="str">
        <f>_xlfn.LET(
_xlpm.H,Table1[[#This Row],[Thời hạn mới nhất (Date)]],
_xlpm.S,Table1[[#This Row],[Snapshot]],
IF(
    ISNUMBER(_xlpm.H),
    INT(_xlpm.H)-INT(_xlpm.S),
    "Không giao thời hạn"
))</f>
        <v>Không giao thời hạn</v>
      </c>
      <c r="X77" s="4" t="s">
        <v>161</v>
      </c>
      <c r="Y77" s="5"/>
      <c r="Z77" s="5" t="s">
        <v>35</v>
      </c>
      <c r="AA77" s="5"/>
      <c r="AB77" s="4"/>
      <c r="AC77" s="6"/>
      <c r="AD77" s="6"/>
      <c r="AE77" s="4">
        <v>0</v>
      </c>
      <c r="AF77" s="26" t="str">
        <f>_xlfn.LET(
_xlpm.H,Table1[[#This Row],[Thời hạn mới nhất (Date)]],
_xlpm.D,Table1[[#This Row],[Dự kiến mới nhất (Date)]],
IF(
NOT(ISNUMBER(_xlpm.H)),"Không giao thời hạn",
IF(
NOT(ISNUMBER(_xlpm.D)),"Chưa có dự kiến",
_xlpm.D-_xlpm.H
)))</f>
        <v>Không giao thời hạn</v>
      </c>
    </row>
    <row r="78" spans="1:32" ht="378.9" x14ac:dyDescent="0.4">
      <c r="A78" s="44">
        <v>46282</v>
      </c>
      <c r="B78" s="4" t="s">
        <v>203</v>
      </c>
      <c r="C78" s="5" t="s">
        <v>44</v>
      </c>
      <c r="D78" s="5">
        <v>45</v>
      </c>
      <c r="E78" s="5" t="str">
        <f>_xlfn.TEXTJOIN("+",TRUE,Table1[[#This Row],[Snapshot]:[ID]])</f>
        <v>46282+DIR-226B02ECB452</v>
      </c>
      <c r="F78" s="5"/>
      <c r="G78" s="20" t="s">
        <v>1216</v>
      </c>
      <c r="H78" s="20" t="s">
        <v>1217</v>
      </c>
      <c r="I78" s="5" t="s">
        <v>52</v>
      </c>
      <c r="J78" s="4" t="s">
        <v>200</v>
      </c>
      <c r="K78" s="4" t="str" cm="1">
        <f t="array" ref="K7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78" s="4" t="s">
        <v>44</v>
      </c>
      <c r="M78" s="4" t="s">
        <v>204</v>
      </c>
      <c r="N78" s="4" t="s">
        <v>1703</v>
      </c>
      <c r="O78" s="4" t="s">
        <v>205</v>
      </c>
      <c r="P78" s="13">
        <v>46032</v>
      </c>
      <c r="Q78" s="13">
        <v>46039</v>
      </c>
      <c r="R78" s="5">
        <v>2</v>
      </c>
      <c r="S78" s="5"/>
      <c r="T78" s="13"/>
      <c r="U78" s="13"/>
      <c r="V78" s="5">
        <v>0</v>
      </c>
      <c r="W78" s="22" t="str">
        <f>_xlfn.LET(
_xlpm.H,Table1[[#This Row],[Thời hạn mới nhất (Date)]],
_xlpm.S,Table1[[#This Row],[Snapshot]],
IF(
    ISNUMBER(_xlpm.H),
    INT(_xlpm.H)-INT(_xlpm.S),
    "Không giao thời hạn"
))</f>
        <v>Không giao thời hạn</v>
      </c>
      <c r="X78" s="4" t="s">
        <v>206</v>
      </c>
      <c r="Y78" s="5" t="s">
        <v>194</v>
      </c>
      <c r="Z78" s="5"/>
      <c r="AA78" s="5"/>
      <c r="AB78" s="5" t="s">
        <v>77</v>
      </c>
      <c r="AC78" s="13">
        <v>46295</v>
      </c>
      <c r="AD78" s="13">
        <v>46295</v>
      </c>
      <c r="AE78" s="5">
        <v>0</v>
      </c>
      <c r="AF78" s="26" t="str">
        <f>_xlfn.LET(
_xlpm.H,Table1[[#This Row],[Thời hạn mới nhất (Date)]],
_xlpm.D,Table1[[#This Row],[Dự kiến mới nhất (Date)]],
IF(
NOT(ISNUMBER(_xlpm.H)),"Không giao thời hạn",
IF(
NOT(ISNUMBER(_xlpm.D)),"Chưa có dự kiến",
_xlpm.D-_xlpm.H
)))</f>
        <v>Không giao thời hạn</v>
      </c>
    </row>
    <row r="79" spans="1:32" ht="378.9" x14ac:dyDescent="0.4">
      <c r="A79" s="44">
        <v>46275</v>
      </c>
      <c r="B79" s="4" t="s">
        <v>203</v>
      </c>
      <c r="C79" s="5" t="s">
        <v>44</v>
      </c>
      <c r="D79" s="5">
        <v>46</v>
      </c>
      <c r="E79" s="5" t="str">
        <f>_xlfn.TEXTJOIN("+",TRUE,Table1[[#This Row],[Snapshot]:[ID]])</f>
        <v>46275+DIR-226B02ECB452</v>
      </c>
      <c r="F79" s="5"/>
      <c r="G79" s="20" t="s">
        <v>1216</v>
      </c>
      <c r="H79" s="20" t="s">
        <v>1217</v>
      </c>
      <c r="I79" s="5" t="s">
        <v>52</v>
      </c>
      <c r="J79" s="4" t="s">
        <v>200</v>
      </c>
      <c r="K79" s="4" t="str" cm="1">
        <f t="array" ref="K7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79" s="4" t="s">
        <v>44</v>
      </c>
      <c r="M79" s="4" t="s">
        <v>204</v>
      </c>
      <c r="N79" s="4" t="s">
        <v>1703</v>
      </c>
      <c r="O79" s="4" t="s">
        <v>205</v>
      </c>
      <c r="P79" s="13">
        <v>46032</v>
      </c>
      <c r="Q79" s="13">
        <v>46039</v>
      </c>
      <c r="R79" s="5">
        <v>2</v>
      </c>
      <c r="S79" s="5"/>
      <c r="T79" s="13"/>
      <c r="U79" s="13"/>
      <c r="V79" s="5">
        <v>0</v>
      </c>
      <c r="W79" s="22" t="str">
        <f>_xlfn.LET(
_xlpm.H,Table1[[#This Row],[Thời hạn mới nhất (Date)]],
_xlpm.S,Table1[[#This Row],[Snapshot]],
IF(
    ISNUMBER(_xlpm.H),
    INT(_xlpm.H)-INT(_xlpm.S),
    "Không giao thời hạn"
))</f>
        <v>Không giao thời hạn</v>
      </c>
      <c r="X79" s="4" t="s">
        <v>206</v>
      </c>
      <c r="Y79" s="5" t="s">
        <v>194</v>
      </c>
      <c r="Z79" s="5"/>
      <c r="AA79" s="5"/>
      <c r="AB79" s="5" t="s">
        <v>77</v>
      </c>
      <c r="AC79" s="13">
        <v>46295</v>
      </c>
      <c r="AD79" s="13">
        <v>46295</v>
      </c>
      <c r="AE79" s="5">
        <v>0</v>
      </c>
      <c r="AF79" s="26" t="str">
        <f>_xlfn.LET(
_xlpm.H,Table1[[#This Row],[Thời hạn mới nhất (Date)]],
_xlpm.D,Table1[[#This Row],[Dự kiến mới nhất (Date)]],
IF(
NOT(ISNUMBER(_xlpm.H)),"Không giao thời hạn",
IF(
NOT(ISNUMBER(_xlpm.D)),"Chưa có dự kiến",
_xlpm.D-_xlpm.H
)))</f>
        <v>Không giao thời hạn</v>
      </c>
    </row>
    <row r="80" spans="1:32" ht="116.6" x14ac:dyDescent="0.4">
      <c r="A80" s="44">
        <v>46282</v>
      </c>
      <c r="B80" s="4" t="s">
        <v>904</v>
      </c>
      <c r="C80" s="5" t="s">
        <v>44</v>
      </c>
      <c r="D80" s="5">
        <v>30</v>
      </c>
      <c r="E80" s="5" t="str">
        <f>_xlfn.TEXTJOIN("+",TRUE,Table1[[#This Row],[Snapshot]:[ID]])</f>
        <v>46282+DIR-2273C0D076B4</v>
      </c>
      <c r="F80" s="5"/>
      <c r="G80" s="5" t="s">
        <v>1301</v>
      </c>
      <c r="H80" s="20" t="s">
        <v>1301</v>
      </c>
      <c r="I80" s="5" t="s">
        <v>130</v>
      </c>
      <c r="J80" s="4" t="s">
        <v>30</v>
      </c>
      <c r="K80" s="4" t="str" cm="1">
        <f t="array" ref="K8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80" s="4" t="s">
        <v>44</v>
      </c>
      <c r="M80" s="4" t="s">
        <v>905</v>
      </c>
      <c r="N80" s="4" t="s">
        <v>1715</v>
      </c>
      <c r="O80" s="4" t="s">
        <v>906</v>
      </c>
      <c r="P80" s="6">
        <v>46277</v>
      </c>
      <c r="Q80" s="6">
        <v>46277</v>
      </c>
      <c r="R80" s="5">
        <v>1</v>
      </c>
      <c r="S80" s="5" t="s">
        <v>907</v>
      </c>
      <c r="T80" s="13">
        <v>46285</v>
      </c>
      <c r="U80" s="13">
        <v>46285</v>
      </c>
      <c r="V80" s="5">
        <v>0</v>
      </c>
      <c r="W80" s="22">
        <f>_xlfn.LET(
_xlpm.H,Table1[[#This Row],[Thời hạn mới nhất (Date)]],
_xlpm.S,Table1[[#This Row],[Snapshot]],
IF(
    ISNUMBER(_xlpm.H),
    INT(_xlpm.H)-INT(_xlpm.S),
    "Không giao thời hạn"
))</f>
        <v>3</v>
      </c>
      <c r="X80" s="4"/>
      <c r="Y80" s="5"/>
      <c r="Z80" s="5"/>
      <c r="AA80" s="5"/>
      <c r="AB80" s="4"/>
      <c r="AC80" s="6"/>
      <c r="AD80" s="6"/>
      <c r="AE80" s="4">
        <v>0</v>
      </c>
      <c r="AF80" s="26" t="str">
        <f>_xlfn.LET(
_xlpm.H,Table1[[#This Row],[Thời hạn mới nhất (Date)]],
_xlpm.D,Table1[[#This Row],[Dự kiến mới nhất (Date)]],
IF(
NOT(ISNUMBER(_xlpm.H)),"Không giao thời hạn",
IF(
NOT(ISNUMBER(_xlpm.D)),"Chưa có dự kiến",
_xlpm.D-_xlpm.H
)))</f>
        <v>Chưa có dự kiến</v>
      </c>
    </row>
    <row r="81" spans="1:32" ht="276.89999999999998" x14ac:dyDescent="0.4">
      <c r="A81" s="44">
        <v>46282</v>
      </c>
      <c r="B81" s="4" t="s">
        <v>718</v>
      </c>
      <c r="C81" s="5" t="s">
        <v>688</v>
      </c>
      <c r="D81" s="5">
        <v>26</v>
      </c>
      <c r="E81" s="5" t="str">
        <f>_xlfn.TEXTJOIN("+",TRUE,Table1[[#This Row],[Snapshot]:[ID]])</f>
        <v>46282+DIR-22A20091AFBC</v>
      </c>
      <c r="F81" s="5"/>
      <c r="G81" s="5" t="s">
        <v>1511</v>
      </c>
      <c r="H81" s="20" t="s">
        <v>1512</v>
      </c>
      <c r="I81" s="5" t="s">
        <v>89</v>
      </c>
      <c r="J81" s="4" t="s">
        <v>689</v>
      </c>
      <c r="K81" s="4" t="str" cm="1">
        <f t="array" ref="K8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81" s="4" t="s">
        <v>688</v>
      </c>
      <c r="M81" s="4" t="s">
        <v>719</v>
      </c>
      <c r="N81" s="4" t="s">
        <v>1696</v>
      </c>
      <c r="O81" s="4" t="s">
        <v>160</v>
      </c>
      <c r="P81" s="6">
        <v>46214</v>
      </c>
      <c r="Q81" s="6">
        <v>46214</v>
      </c>
      <c r="R81" s="5">
        <v>1</v>
      </c>
      <c r="S81" s="5" t="s">
        <v>720</v>
      </c>
      <c r="T81" s="13">
        <v>46219</v>
      </c>
      <c r="U81" s="13">
        <v>46219</v>
      </c>
      <c r="V81" s="5">
        <v>0</v>
      </c>
      <c r="W81" s="22">
        <f>_xlfn.LET(
_xlpm.H,Table1[[#This Row],[Thời hạn mới nhất (Date)]],
_xlpm.S,Table1[[#This Row],[Snapshot]],
IF(
    ISNUMBER(_xlpm.H),
    INT(_xlpm.H)-INT(_xlpm.S),
    "Không giao thời hạn"
))</f>
        <v>-63</v>
      </c>
      <c r="X81" s="4" t="s">
        <v>967</v>
      </c>
      <c r="Y81" s="5"/>
      <c r="Z81" s="5" t="s">
        <v>35</v>
      </c>
      <c r="AA81" s="5"/>
      <c r="AB81" s="4" t="s">
        <v>717</v>
      </c>
      <c r="AC81" s="6">
        <v>46295</v>
      </c>
      <c r="AD81" s="6">
        <v>46295</v>
      </c>
      <c r="AE81" s="4">
        <v>0</v>
      </c>
      <c r="AF81" s="26">
        <f>_xlfn.LET(
_xlpm.H,Table1[[#This Row],[Thời hạn mới nhất (Date)]],
_xlpm.D,Table1[[#This Row],[Dự kiến mới nhất (Date)]],
IF(
NOT(ISNUMBER(_xlpm.H)),"Không giao thời hạn",
IF(
NOT(ISNUMBER(_xlpm.D)),"Chưa có dự kiến",
_xlpm.D-_xlpm.H
)))</f>
        <v>76</v>
      </c>
    </row>
    <row r="82" spans="1:32" ht="276.89999999999998" x14ac:dyDescent="0.4">
      <c r="A82" s="44">
        <v>46275</v>
      </c>
      <c r="B82" s="4" t="s">
        <v>718</v>
      </c>
      <c r="C82" s="5" t="s">
        <v>688</v>
      </c>
      <c r="D82" s="5">
        <v>26</v>
      </c>
      <c r="E82" s="5" t="str">
        <f>_xlfn.TEXTJOIN("+",TRUE,Table1[[#This Row],[Snapshot]:[ID]])</f>
        <v>46275+DIR-22A20091AFBC</v>
      </c>
      <c r="F82" s="5"/>
      <c r="G82" s="5" t="s">
        <v>1513</v>
      </c>
      <c r="H82" s="20" t="s">
        <v>1514</v>
      </c>
      <c r="I82" s="5" t="s">
        <v>89</v>
      </c>
      <c r="J82" s="4" t="s">
        <v>689</v>
      </c>
      <c r="K82" s="4" t="str" cm="1">
        <f t="array" ref="K8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82" s="4" t="s">
        <v>688</v>
      </c>
      <c r="M82" s="4" t="s">
        <v>719</v>
      </c>
      <c r="N82" s="4" t="s">
        <v>1696</v>
      </c>
      <c r="O82" s="4" t="s">
        <v>160</v>
      </c>
      <c r="P82" s="6">
        <v>46214</v>
      </c>
      <c r="Q82" s="6">
        <v>46214</v>
      </c>
      <c r="R82" s="5">
        <v>1</v>
      </c>
      <c r="S82" s="5" t="s">
        <v>720</v>
      </c>
      <c r="T82" s="13">
        <v>46219</v>
      </c>
      <c r="U82" s="13">
        <v>46219</v>
      </c>
      <c r="V82" s="5">
        <v>0</v>
      </c>
      <c r="W82" s="22">
        <f>_xlfn.LET(
_xlpm.H,Table1[[#This Row],[Thời hạn mới nhất (Date)]],
_xlpm.S,Table1[[#This Row],[Snapshot]],
IF(
    ISNUMBER(_xlpm.H),
    INT(_xlpm.H)-INT(_xlpm.S),
    "Không giao thời hạn"
))</f>
        <v>-56</v>
      </c>
      <c r="X82" s="4" t="s">
        <v>721</v>
      </c>
      <c r="Y82" s="5"/>
      <c r="Z82" s="5" t="s">
        <v>35</v>
      </c>
      <c r="AA82" s="5"/>
      <c r="AB82" s="4" t="s">
        <v>717</v>
      </c>
      <c r="AC82" s="6">
        <v>46295</v>
      </c>
      <c r="AD82" s="6">
        <v>46295</v>
      </c>
      <c r="AE82" s="4">
        <v>0</v>
      </c>
      <c r="AF82" s="26">
        <f>_xlfn.LET(
_xlpm.H,Table1[[#This Row],[Thời hạn mới nhất (Date)]],
_xlpm.D,Table1[[#This Row],[Dự kiến mới nhất (Date)]],
IF(
NOT(ISNUMBER(_xlpm.H)),"Không giao thời hạn",
IF(
NOT(ISNUMBER(_xlpm.D)),"Chưa có dự kiến",
_xlpm.D-_xlpm.H
)))</f>
        <v>76</v>
      </c>
    </row>
    <row r="83" spans="1:32" ht="145.75" x14ac:dyDescent="0.4">
      <c r="A83" s="44">
        <v>46282</v>
      </c>
      <c r="B83" s="4" t="s">
        <v>347</v>
      </c>
      <c r="C83" s="5" t="s">
        <v>297</v>
      </c>
      <c r="D83" s="5">
        <v>29</v>
      </c>
      <c r="E83" s="5" t="str">
        <f>_xlfn.TEXTJOIN("+",TRUE,Table1[[#This Row],[Snapshot]:[ID]])</f>
        <v>46282+DIR-2348E4AF3E9B</v>
      </c>
      <c r="F83" s="5"/>
      <c r="G83" s="20" t="s">
        <v>1189</v>
      </c>
      <c r="H83" s="20" t="s">
        <v>1190</v>
      </c>
      <c r="I83" s="5" t="s">
        <v>57</v>
      </c>
      <c r="J83" s="4" t="s">
        <v>200</v>
      </c>
      <c r="K83" s="4" t="str" cm="1">
        <f t="array" ref="K8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83" s="4" t="s">
        <v>297</v>
      </c>
      <c r="M83" s="4" t="s">
        <v>348</v>
      </c>
      <c r="N83" s="4" t="s">
        <v>1701</v>
      </c>
      <c r="O83" s="4" t="s">
        <v>349</v>
      </c>
      <c r="P83" s="6">
        <v>45871</v>
      </c>
      <c r="Q83" s="6">
        <v>45976</v>
      </c>
      <c r="R83" s="5">
        <v>4</v>
      </c>
      <c r="S83" s="5"/>
      <c r="T83" s="13"/>
      <c r="U83" s="13"/>
      <c r="V83" s="5">
        <v>0</v>
      </c>
      <c r="W83" s="22" t="str">
        <f>_xlfn.LET(
_xlpm.H,Table1[[#This Row],[Thời hạn mới nhất (Date)]],
_xlpm.S,Table1[[#This Row],[Snapshot]],
IF(
    ISNUMBER(_xlpm.H),
    INT(_xlpm.H)-INT(_xlpm.S),
    "Không giao thời hạn"
))</f>
        <v>Không giao thời hạn</v>
      </c>
      <c r="X83" s="4" t="s">
        <v>350</v>
      </c>
      <c r="Y83" s="5"/>
      <c r="Z83" s="5" t="s">
        <v>35</v>
      </c>
      <c r="AA83" s="5"/>
      <c r="AB83" s="4" t="s">
        <v>301</v>
      </c>
      <c r="AC83" s="6">
        <v>46295</v>
      </c>
      <c r="AD83" s="6">
        <v>46295</v>
      </c>
      <c r="AE83" s="4">
        <v>0</v>
      </c>
      <c r="AF83" s="26" t="str">
        <f>_xlfn.LET(
_xlpm.H,Table1[[#This Row],[Thời hạn mới nhất (Date)]],
_xlpm.D,Table1[[#This Row],[Dự kiến mới nhất (Date)]],
IF(
NOT(ISNUMBER(_xlpm.H)),"Không giao thời hạn",
IF(
NOT(ISNUMBER(_xlpm.D)),"Chưa có dự kiến",
_xlpm.D-_xlpm.H
)))</f>
        <v>Không giao thời hạn</v>
      </c>
    </row>
    <row r="84" spans="1:32" ht="145.75" x14ac:dyDescent="0.4">
      <c r="A84" s="44">
        <v>46275</v>
      </c>
      <c r="B84" s="4" t="s">
        <v>347</v>
      </c>
      <c r="C84" s="5" t="s">
        <v>297</v>
      </c>
      <c r="D84" s="5">
        <v>27</v>
      </c>
      <c r="E84" s="5" t="str">
        <f>_xlfn.TEXTJOIN("+",TRUE,Table1[[#This Row],[Snapshot]:[ID]])</f>
        <v>46275+DIR-2348E4AF3E9B</v>
      </c>
      <c r="F84" s="5"/>
      <c r="G84" s="20" t="s">
        <v>1189</v>
      </c>
      <c r="H84" s="20" t="s">
        <v>1190</v>
      </c>
      <c r="I84" s="5" t="s">
        <v>57</v>
      </c>
      <c r="J84" s="4" t="s">
        <v>200</v>
      </c>
      <c r="K84" s="4" t="str" cm="1">
        <f t="array" ref="K8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84" s="4" t="s">
        <v>297</v>
      </c>
      <c r="M84" s="4" t="s">
        <v>348</v>
      </c>
      <c r="N84" s="4" t="s">
        <v>1701</v>
      </c>
      <c r="O84" s="4" t="s">
        <v>349</v>
      </c>
      <c r="P84" s="6">
        <v>45871</v>
      </c>
      <c r="Q84" s="6">
        <v>45976</v>
      </c>
      <c r="R84" s="5">
        <v>4</v>
      </c>
      <c r="S84" s="5"/>
      <c r="T84" s="13"/>
      <c r="U84" s="13"/>
      <c r="V84" s="5">
        <v>0</v>
      </c>
      <c r="W84" s="22" t="str">
        <f>_xlfn.LET(
_xlpm.H,Table1[[#This Row],[Thời hạn mới nhất (Date)]],
_xlpm.S,Table1[[#This Row],[Snapshot]],
IF(
    ISNUMBER(_xlpm.H),
    INT(_xlpm.H)-INT(_xlpm.S),
    "Không giao thời hạn"
))</f>
        <v>Không giao thời hạn</v>
      </c>
      <c r="X84" s="4" t="s">
        <v>350</v>
      </c>
      <c r="Y84" s="5"/>
      <c r="Z84" s="5" t="s">
        <v>35</v>
      </c>
      <c r="AA84" s="5"/>
      <c r="AB84" s="4" t="s">
        <v>301</v>
      </c>
      <c r="AC84" s="6">
        <v>46295</v>
      </c>
      <c r="AD84" s="6">
        <v>46295</v>
      </c>
      <c r="AE84" s="4">
        <v>0</v>
      </c>
      <c r="AF84" s="26" t="str">
        <f>_xlfn.LET(
_xlpm.H,Table1[[#This Row],[Thời hạn mới nhất (Date)]],
_xlpm.D,Table1[[#This Row],[Dự kiến mới nhất (Date)]],
IF(
NOT(ISNUMBER(_xlpm.H)),"Không giao thời hạn",
IF(
NOT(ISNUMBER(_xlpm.D)),"Chưa có dự kiến",
_xlpm.D-_xlpm.H
)))</f>
        <v>Không giao thời hạn</v>
      </c>
    </row>
    <row r="85" spans="1:32" ht="204" x14ac:dyDescent="0.4">
      <c r="A85" s="44">
        <v>46282</v>
      </c>
      <c r="B85" s="4" t="s">
        <v>484</v>
      </c>
      <c r="C85" s="5" t="s">
        <v>469</v>
      </c>
      <c r="D85" s="5">
        <v>17</v>
      </c>
      <c r="E85" s="5" t="str">
        <f>_xlfn.TEXTJOIN("+",TRUE,Table1[[#This Row],[Snapshot]:[ID]])</f>
        <v>46282+DIR-23988E9AA1C5</v>
      </c>
      <c r="F85" s="5"/>
      <c r="G85" s="5" t="s">
        <v>1800</v>
      </c>
      <c r="H85" s="20" t="s">
        <v>1801</v>
      </c>
      <c r="I85" s="5" t="s">
        <v>63</v>
      </c>
      <c r="J85" s="4" t="s">
        <v>30</v>
      </c>
      <c r="K85" s="4" t="str" cm="1">
        <f t="array" ref="K8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85" s="4" t="s">
        <v>469</v>
      </c>
      <c r="M85" s="4" t="s">
        <v>485</v>
      </c>
      <c r="N85" s="4" t="s">
        <v>1713</v>
      </c>
      <c r="O85" s="4" t="s">
        <v>143</v>
      </c>
      <c r="P85" s="6">
        <v>46186</v>
      </c>
      <c r="Q85" s="6">
        <v>46186</v>
      </c>
      <c r="R85" s="5">
        <v>1</v>
      </c>
      <c r="S85" s="5" t="s">
        <v>486</v>
      </c>
      <c r="T85" s="13">
        <v>46198</v>
      </c>
      <c r="U85" s="13">
        <v>46198</v>
      </c>
      <c r="V85" s="5">
        <v>0</v>
      </c>
      <c r="W85" s="22">
        <f>_xlfn.LET(
_xlpm.H,Table1[[#This Row],[Thời hạn mới nhất (Date)]],
_xlpm.S,Table1[[#This Row],[Snapshot]],
IF(
    ISNUMBER(_xlpm.H),
    INT(_xlpm.H)-INT(_xlpm.S),
    "Không giao thời hạn"
))</f>
        <v>-84</v>
      </c>
      <c r="X85" s="4" t="s">
        <v>487</v>
      </c>
      <c r="Y85" s="5"/>
      <c r="Z85" s="5" t="s">
        <v>35</v>
      </c>
      <c r="AA85" s="5"/>
      <c r="AB85" s="4" t="s">
        <v>488</v>
      </c>
      <c r="AC85" s="6"/>
      <c r="AD85" s="6"/>
      <c r="AE85" s="4">
        <v>0</v>
      </c>
      <c r="AF85" s="26" t="str">
        <f>_xlfn.LET(
_xlpm.H,Table1[[#This Row],[Thời hạn mới nhất (Date)]],
_xlpm.D,Table1[[#This Row],[Dự kiến mới nhất (Date)]],
IF(
NOT(ISNUMBER(_xlpm.H)),"Không giao thời hạn",
IF(
NOT(ISNUMBER(_xlpm.D)),"Chưa có dự kiến",
_xlpm.D-_xlpm.H
)))</f>
        <v>Chưa có dự kiến</v>
      </c>
    </row>
    <row r="86" spans="1:32" ht="204" x14ac:dyDescent="0.4">
      <c r="A86" s="44">
        <v>46275</v>
      </c>
      <c r="B86" s="4" t="s">
        <v>484</v>
      </c>
      <c r="C86" s="5" t="s">
        <v>469</v>
      </c>
      <c r="D86" s="5">
        <v>17</v>
      </c>
      <c r="E86" s="5" t="str">
        <f>_xlfn.TEXTJOIN("+",TRUE,Table1[[#This Row],[Snapshot]:[ID]])</f>
        <v>46275+DIR-23988E9AA1C5</v>
      </c>
      <c r="F86" s="5"/>
      <c r="G86" s="5" t="s">
        <v>1802</v>
      </c>
      <c r="H86" s="20" t="s">
        <v>1803</v>
      </c>
      <c r="I86" s="5" t="s">
        <v>63</v>
      </c>
      <c r="J86" s="4" t="s">
        <v>30</v>
      </c>
      <c r="K86" s="4" t="str" cm="1">
        <f t="array" ref="K8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86" s="4" t="s">
        <v>469</v>
      </c>
      <c r="M86" s="4" t="s">
        <v>485</v>
      </c>
      <c r="N86" s="4" t="s">
        <v>1713</v>
      </c>
      <c r="O86" s="4" t="s">
        <v>143</v>
      </c>
      <c r="P86" s="6">
        <v>46186</v>
      </c>
      <c r="Q86" s="6">
        <v>46186</v>
      </c>
      <c r="R86" s="5">
        <v>1</v>
      </c>
      <c r="S86" s="5" t="s">
        <v>486</v>
      </c>
      <c r="T86" s="13">
        <v>46198</v>
      </c>
      <c r="U86" s="13">
        <v>46198</v>
      </c>
      <c r="V86" s="5">
        <v>0</v>
      </c>
      <c r="W86" s="22">
        <f>_xlfn.LET(
_xlpm.H,Table1[[#This Row],[Thời hạn mới nhất (Date)]],
_xlpm.S,Table1[[#This Row],[Snapshot]],
IF(
    ISNUMBER(_xlpm.H),
    INT(_xlpm.H)-INT(_xlpm.S),
    "Không giao thời hạn"
))</f>
        <v>-77</v>
      </c>
      <c r="X86" s="4" t="s">
        <v>487</v>
      </c>
      <c r="Y86" s="5"/>
      <c r="Z86" s="5" t="s">
        <v>35</v>
      </c>
      <c r="AA86" s="5"/>
      <c r="AB86" s="4" t="s">
        <v>488</v>
      </c>
      <c r="AC86" s="6"/>
      <c r="AD86" s="6"/>
      <c r="AE86" s="4">
        <v>0</v>
      </c>
      <c r="AF86" s="26" t="str">
        <f>_xlfn.LET(
_xlpm.H,Table1[[#This Row],[Thời hạn mới nhất (Date)]],
_xlpm.D,Table1[[#This Row],[Dự kiến mới nhất (Date)]],
IF(
NOT(ISNUMBER(_xlpm.H)),"Không giao thời hạn",
IF(
NOT(ISNUMBER(_xlpm.D)),"Chưa có dự kiến",
_xlpm.D-_xlpm.H
)))</f>
        <v>Chưa có dự kiến</v>
      </c>
    </row>
    <row r="87" spans="1:32" ht="131.15" x14ac:dyDescent="0.4">
      <c r="A87" s="44">
        <v>46282</v>
      </c>
      <c r="B87" s="4" t="s">
        <v>134</v>
      </c>
      <c r="C87" s="5" t="s">
        <v>44</v>
      </c>
      <c r="D87" s="5">
        <v>35</v>
      </c>
      <c r="E87" s="5" t="str">
        <f>_xlfn.TEXTJOIN("+",TRUE,Table1[[#This Row],[Snapshot]:[ID]])</f>
        <v>46282+DIR-2431CBCDD1CE</v>
      </c>
      <c r="F87" s="5"/>
      <c r="G87" s="5" t="s">
        <v>1299</v>
      </c>
      <c r="H87" s="20" t="s">
        <v>1299</v>
      </c>
      <c r="I87" s="5" t="s">
        <v>158</v>
      </c>
      <c r="J87" s="4" t="s">
        <v>30</v>
      </c>
      <c r="K87" s="4" t="str" cm="1">
        <f t="array" ref="K8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87" s="4" t="s">
        <v>44</v>
      </c>
      <c r="M87" s="4" t="s">
        <v>136</v>
      </c>
      <c r="N87" s="4" t="s">
        <v>1716</v>
      </c>
      <c r="O87" s="4" t="s">
        <v>137</v>
      </c>
      <c r="P87" s="6">
        <v>46179</v>
      </c>
      <c r="Q87" s="6">
        <v>46179</v>
      </c>
      <c r="R87" s="5">
        <v>1</v>
      </c>
      <c r="S87" s="5" t="s">
        <v>138</v>
      </c>
      <c r="T87" s="13">
        <v>46203</v>
      </c>
      <c r="U87" s="13">
        <v>46203</v>
      </c>
      <c r="V87" s="5">
        <v>0</v>
      </c>
      <c r="W87" s="22">
        <f>_xlfn.LET(
_xlpm.H,Table1[[#This Row],[Thời hạn mới nhất (Date)]],
_xlpm.S,Table1[[#This Row],[Snapshot]],
IF(
    ISNUMBER(_xlpm.H),
    INT(_xlpm.H)-INT(_xlpm.S),
    "Không giao thời hạn"
))</f>
        <v>-79</v>
      </c>
      <c r="X87" s="4" t="s">
        <v>139</v>
      </c>
      <c r="Y87" s="5"/>
      <c r="Z87" s="5" t="s">
        <v>35</v>
      </c>
      <c r="AA87" s="5"/>
      <c r="AB87" s="4" t="s">
        <v>50</v>
      </c>
      <c r="AC87" s="6"/>
      <c r="AD87" s="6"/>
      <c r="AE87" s="4">
        <v>0</v>
      </c>
      <c r="AF87" s="26" t="str">
        <f>_xlfn.LET(
_xlpm.H,Table1[[#This Row],[Thời hạn mới nhất (Date)]],
_xlpm.D,Table1[[#This Row],[Dự kiến mới nhất (Date)]],
IF(
NOT(ISNUMBER(_xlpm.H)),"Không giao thời hạn",
IF(
NOT(ISNUMBER(_xlpm.D)),"Chưa có dự kiến",
_xlpm.D-_xlpm.H
)))</f>
        <v>Chưa có dự kiến</v>
      </c>
    </row>
    <row r="88" spans="1:32" ht="131.15" x14ac:dyDescent="0.4">
      <c r="A88" s="44">
        <v>46275</v>
      </c>
      <c r="B88" s="4" t="s">
        <v>134</v>
      </c>
      <c r="C88" s="5" t="s">
        <v>44</v>
      </c>
      <c r="D88" s="5">
        <v>31</v>
      </c>
      <c r="E88" s="5" t="str">
        <f>_xlfn.TEXTJOIN("+",TRUE,Table1[[#This Row],[Snapshot]:[ID]])</f>
        <v>46275+DIR-2431CBCDD1CE</v>
      </c>
      <c r="F88" s="5"/>
      <c r="G88" s="5" t="s">
        <v>1299</v>
      </c>
      <c r="H88" s="20" t="s">
        <v>1299</v>
      </c>
      <c r="I88" s="5" t="s">
        <v>135</v>
      </c>
      <c r="J88" s="4" t="s">
        <v>30</v>
      </c>
      <c r="K88" s="4" t="str" cm="1">
        <f t="array" ref="K8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88" s="4" t="s">
        <v>44</v>
      </c>
      <c r="M88" s="4" t="s">
        <v>136</v>
      </c>
      <c r="N88" s="4" t="s">
        <v>1716</v>
      </c>
      <c r="O88" s="4" t="s">
        <v>137</v>
      </c>
      <c r="P88" s="6">
        <v>46179</v>
      </c>
      <c r="Q88" s="6">
        <v>46179</v>
      </c>
      <c r="R88" s="5">
        <v>1</v>
      </c>
      <c r="S88" s="5" t="s">
        <v>138</v>
      </c>
      <c r="T88" s="13">
        <v>46203</v>
      </c>
      <c r="U88" s="13">
        <v>46203</v>
      </c>
      <c r="V88" s="5">
        <v>0</v>
      </c>
      <c r="W88" s="22">
        <f>_xlfn.LET(
_xlpm.H,Table1[[#This Row],[Thời hạn mới nhất (Date)]],
_xlpm.S,Table1[[#This Row],[Snapshot]],
IF(
    ISNUMBER(_xlpm.H),
    INT(_xlpm.H)-INT(_xlpm.S),
    "Không giao thời hạn"
))</f>
        <v>-72</v>
      </c>
      <c r="X88" s="4" t="s">
        <v>139</v>
      </c>
      <c r="Y88" s="5"/>
      <c r="Z88" s="5" t="s">
        <v>35</v>
      </c>
      <c r="AA88" s="5"/>
      <c r="AB88" s="4" t="s">
        <v>50</v>
      </c>
      <c r="AC88" s="6"/>
      <c r="AD88" s="6"/>
      <c r="AE88" s="4">
        <v>0</v>
      </c>
      <c r="AF88" s="26" t="str">
        <f>_xlfn.LET(
_xlpm.H,Table1[[#This Row],[Thời hạn mới nhất (Date)]],
_xlpm.D,Table1[[#This Row],[Dự kiến mới nhất (Date)]],
IF(
NOT(ISNUMBER(_xlpm.H)),"Không giao thời hạn",
IF(
NOT(ISNUMBER(_xlpm.D)),"Chưa có dự kiến",
_xlpm.D-_xlpm.H
)))</f>
        <v>Chưa có dự kiến</v>
      </c>
    </row>
    <row r="89" spans="1:32" ht="131.15" x14ac:dyDescent="0.4">
      <c r="A89" s="44">
        <v>46282</v>
      </c>
      <c r="B89" s="4" t="s">
        <v>778</v>
      </c>
      <c r="C89" s="5" t="s">
        <v>688</v>
      </c>
      <c r="D89" s="5">
        <v>44</v>
      </c>
      <c r="E89" s="5" t="str">
        <f>_xlfn.TEXTJOIN("+",TRUE,Table1[[#This Row],[Snapshot]:[ID]])</f>
        <v>46282+DIR-24453D6F34D6</v>
      </c>
      <c r="F89" s="5"/>
      <c r="G89" s="5" t="s">
        <v>1320</v>
      </c>
      <c r="H89" s="20" t="s">
        <v>1321</v>
      </c>
      <c r="I89" s="5" t="s">
        <v>774</v>
      </c>
      <c r="J89" s="4" t="s">
        <v>689</v>
      </c>
      <c r="K89" s="4" t="str" cm="1">
        <f t="array" ref="K8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89" s="4" t="s">
        <v>688</v>
      </c>
      <c r="M89" s="4" t="s">
        <v>583</v>
      </c>
      <c r="N89" s="4" t="s">
        <v>1696</v>
      </c>
      <c r="O89" s="4" t="s">
        <v>32</v>
      </c>
      <c r="P89" s="6">
        <v>46242</v>
      </c>
      <c r="Q89" s="6">
        <v>46242</v>
      </c>
      <c r="R89" s="5">
        <v>1</v>
      </c>
      <c r="S89" s="5" t="s">
        <v>584</v>
      </c>
      <c r="T89" s="13">
        <v>46295</v>
      </c>
      <c r="U89" s="13">
        <v>46295</v>
      </c>
      <c r="V89" s="5">
        <v>0</v>
      </c>
      <c r="W89" s="22">
        <f>_xlfn.LET(
_xlpm.H,Table1[[#This Row],[Thời hạn mới nhất (Date)]],
_xlpm.S,Table1[[#This Row],[Snapshot]],
IF(
    ISNUMBER(_xlpm.H),
    INT(_xlpm.H)-INT(_xlpm.S),
    "Không giao thời hạn"
))</f>
        <v>13</v>
      </c>
      <c r="X89" s="4" t="s">
        <v>780</v>
      </c>
      <c r="Y89" s="5"/>
      <c r="Z89" s="5" t="s">
        <v>35</v>
      </c>
      <c r="AA89" s="5"/>
      <c r="AB89" s="4" t="s">
        <v>725</v>
      </c>
      <c r="AC89" s="6">
        <v>46295</v>
      </c>
      <c r="AD89" s="6">
        <v>46295</v>
      </c>
      <c r="AE89" s="4">
        <v>0</v>
      </c>
      <c r="AF89" s="26">
        <f>_xlfn.LET(
_xlpm.H,Table1[[#This Row],[Thời hạn mới nhất (Date)]],
_xlpm.D,Table1[[#This Row],[Dự kiến mới nhất (Date)]],
IF(
NOT(ISNUMBER(_xlpm.H)),"Không giao thời hạn",
IF(
NOT(ISNUMBER(_xlpm.D)),"Chưa có dự kiến",
_xlpm.D-_xlpm.H
)))</f>
        <v>0</v>
      </c>
    </row>
    <row r="90" spans="1:32" ht="72.900000000000006" x14ac:dyDescent="0.4">
      <c r="A90" s="44">
        <v>46275</v>
      </c>
      <c r="B90" s="4" t="s">
        <v>778</v>
      </c>
      <c r="C90" s="5" t="s">
        <v>688</v>
      </c>
      <c r="D90" s="5">
        <v>45</v>
      </c>
      <c r="E90" s="5" t="str">
        <f>_xlfn.TEXTJOIN("+",TRUE,Table1[[#This Row],[Snapshot]:[ID]])</f>
        <v>46275+DIR-24453D6F34D6</v>
      </c>
      <c r="F90" s="5"/>
      <c r="G90" s="5" t="s">
        <v>1322</v>
      </c>
      <c r="H90" s="20" t="s">
        <v>1323</v>
      </c>
      <c r="I90" s="5" t="s">
        <v>779</v>
      </c>
      <c r="J90" s="4" t="s">
        <v>689</v>
      </c>
      <c r="K90" s="4" t="str" cm="1">
        <f t="array" ref="K9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90" s="4" t="s">
        <v>688</v>
      </c>
      <c r="M90" s="4" t="s">
        <v>583</v>
      </c>
      <c r="N90" s="4" t="s">
        <v>1696</v>
      </c>
      <c r="O90" s="4" t="s">
        <v>32</v>
      </c>
      <c r="P90" s="6">
        <v>46242</v>
      </c>
      <c r="Q90" s="6">
        <v>46242</v>
      </c>
      <c r="R90" s="5">
        <v>1</v>
      </c>
      <c r="S90" s="5" t="s">
        <v>584</v>
      </c>
      <c r="T90" s="13">
        <v>46295</v>
      </c>
      <c r="U90" s="13">
        <v>46295</v>
      </c>
      <c r="V90" s="5">
        <v>0</v>
      </c>
      <c r="W90" s="22">
        <f>_xlfn.LET(
_xlpm.H,Table1[[#This Row],[Thời hạn mới nhất (Date)]],
_xlpm.S,Table1[[#This Row],[Snapshot]],
IF(
    ISNUMBER(_xlpm.H),
    INT(_xlpm.H)-INT(_xlpm.S),
    "Không giao thời hạn"
))</f>
        <v>20</v>
      </c>
      <c r="X90" s="4" t="s">
        <v>780</v>
      </c>
      <c r="Y90" s="5"/>
      <c r="Z90" s="5" t="s">
        <v>35</v>
      </c>
      <c r="AA90" s="5"/>
      <c r="AB90" s="4" t="s">
        <v>781</v>
      </c>
      <c r="AC90" s="6">
        <v>46295</v>
      </c>
      <c r="AD90" s="6">
        <v>46295</v>
      </c>
      <c r="AE90" s="4">
        <v>0</v>
      </c>
      <c r="AF90" s="26">
        <f>_xlfn.LET(
_xlpm.H,Table1[[#This Row],[Thời hạn mới nhất (Date)]],
_xlpm.D,Table1[[#This Row],[Dự kiến mới nhất (Date)]],
IF(
NOT(ISNUMBER(_xlpm.H)),"Không giao thời hạn",
IF(
NOT(ISNUMBER(_xlpm.D)),"Chưa có dự kiến",
_xlpm.D-_xlpm.H
)))</f>
        <v>0</v>
      </c>
    </row>
    <row r="91" spans="1:32" ht="145.75" x14ac:dyDescent="0.4">
      <c r="A91" s="44">
        <v>46282</v>
      </c>
      <c r="B91" s="4" t="s">
        <v>323</v>
      </c>
      <c r="C91" s="5" t="s">
        <v>297</v>
      </c>
      <c r="D91" s="5">
        <v>19</v>
      </c>
      <c r="E91" s="5" t="str">
        <f>_xlfn.TEXTJOIN("+",TRUE,Table1[[#This Row],[Snapshot]:[ID]])</f>
        <v>46282+DIR-2751F9D2E1E8</v>
      </c>
      <c r="F91" s="5"/>
      <c r="G91" s="5" t="s">
        <v>1804</v>
      </c>
      <c r="H91" s="20" t="s">
        <v>1805</v>
      </c>
      <c r="I91" s="5" t="s">
        <v>80</v>
      </c>
      <c r="J91" s="4" t="s">
        <v>30</v>
      </c>
      <c r="K91" s="4" t="str" cm="1">
        <f t="array" ref="K9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91" s="4" t="s">
        <v>297</v>
      </c>
      <c r="M91" s="4" t="s">
        <v>324</v>
      </c>
      <c r="N91" s="4" t="s">
        <v>1701</v>
      </c>
      <c r="O91" s="4" t="s">
        <v>71</v>
      </c>
      <c r="P91" s="6">
        <v>46235</v>
      </c>
      <c r="Q91" s="6">
        <v>46235</v>
      </c>
      <c r="R91" s="5">
        <v>1</v>
      </c>
      <c r="S91" s="5" t="s">
        <v>325</v>
      </c>
      <c r="T91" s="13">
        <v>46245</v>
      </c>
      <c r="U91" s="13">
        <v>46245</v>
      </c>
      <c r="V91" s="5">
        <v>0</v>
      </c>
      <c r="W91" s="22">
        <f>_xlfn.LET(
_xlpm.H,Table1[[#This Row],[Thời hạn mới nhất (Date)]],
_xlpm.S,Table1[[#This Row],[Snapshot]],
IF(
    ISNUMBER(_xlpm.H),
    INT(_xlpm.H)-INT(_xlpm.S),
    "Không giao thời hạn"
))</f>
        <v>-37</v>
      </c>
      <c r="X91" s="4" t="s">
        <v>326</v>
      </c>
      <c r="Y91" s="5"/>
      <c r="Z91" s="5" t="s">
        <v>35</v>
      </c>
      <c r="AA91" s="5"/>
      <c r="AB91" s="4" t="s">
        <v>334</v>
      </c>
      <c r="AC91" s="6">
        <v>46295</v>
      </c>
      <c r="AD91" s="6">
        <v>46387</v>
      </c>
      <c r="AE91" s="4">
        <v>1</v>
      </c>
      <c r="AF91" s="26">
        <f>_xlfn.LET(
_xlpm.H,Table1[[#This Row],[Thời hạn mới nhất (Date)]],
_xlpm.D,Table1[[#This Row],[Dự kiến mới nhất (Date)]],
IF(
NOT(ISNUMBER(_xlpm.H)),"Không giao thời hạn",
IF(
NOT(ISNUMBER(_xlpm.D)),"Chưa có dự kiến",
_xlpm.D-_xlpm.H
)))</f>
        <v>142</v>
      </c>
    </row>
    <row r="92" spans="1:32" ht="174.9" x14ac:dyDescent="0.4">
      <c r="A92" s="44">
        <v>46275</v>
      </c>
      <c r="B92" s="4" t="s">
        <v>323</v>
      </c>
      <c r="C92" s="5" t="s">
        <v>297</v>
      </c>
      <c r="D92" s="5">
        <v>19</v>
      </c>
      <c r="E92" s="5" t="str">
        <f>_xlfn.TEXTJOIN("+",TRUE,Table1[[#This Row],[Snapshot]:[ID]])</f>
        <v>46275+DIR-2751F9D2E1E8</v>
      </c>
      <c r="F92" s="5"/>
      <c r="G92" s="5" t="s">
        <v>1806</v>
      </c>
      <c r="H92" s="20" t="s">
        <v>1807</v>
      </c>
      <c r="I92" s="5" t="s">
        <v>80</v>
      </c>
      <c r="J92" s="4" t="s">
        <v>30</v>
      </c>
      <c r="K92" s="4" t="str" cm="1">
        <f t="array" ref="K9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92" s="4" t="s">
        <v>297</v>
      </c>
      <c r="M92" s="4" t="s">
        <v>324</v>
      </c>
      <c r="N92" s="4" t="s">
        <v>1701</v>
      </c>
      <c r="O92" s="4" t="s">
        <v>71</v>
      </c>
      <c r="P92" s="6">
        <v>46235</v>
      </c>
      <c r="Q92" s="6">
        <v>46235</v>
      </c>
      <c r="R92" s="5">
        <v>1</v>
      </c>
      <c r="S92" s="5" t="s">
        <v>325</v>
      </c>
      <c r="T92" s="13">
        <v>46245</v>
      </c>
      <c r="U92" s="13">
        <v>46245</v>
      </c>
      <c r="V92" s="5">
        <v>0</v>
      </c>
      <c r="W92" s="22">
        <f>_xlfn.LET(
_xlpm.H,Table1[[#This Row],[Thời hạn mới nhất (Date)]],
_xlpm.S,Table1[[#This Row],[Snapshot]],
IF(
    ISNUMBER(_xlpm.H),
    INT(_xlpm.H)-INT(_xlpm.S),
    "Không giao thời hạn"
))</f>
        <v>-30</v>
      </c>
      <c r="X92" s="4" t="s">
        <v>326</v>
      </c>
      <c r="Y92" s="5"/>
      <c r="Z92" s="5" t="s">
        <v>35</v>
      </c>
      <c r="AA92" s="5"/>
      <c r="AB92" s="4" t="s">
        <v>301</v>
      </c>
      <c r="AC92" s="6">
        <v>46295</v>
      </c>
      <c r="AD92" s="6">
        <v>46295</v>
      </c>
      <c r="AE92" s="4">
        <v>0</v>
      </c>
      <c r="AF92" s="26">
        <f>_xlfn.LET(
_xlpm.H,Table1[[#This Row],[Thời hạn mới nhất (Date)]],
_xlpm.D,Table1[[#This Row],[Dự kiến mới nhất (Date)]],
IF(
NOT(ISNUMBER(_xlpm.H)),"Không giao thời hạn",
IF(
NOT(ISNUMBER(_xlpm.D)),"Chưa có dự kiến",
_xlpm.D-_xlpm.H
)))</f>
        <v>50</v>
      </c>
    </row>
    <row r="93" spans="1:32" ht="218.6" x14ac:dyDescent="0.4">
      <c r="A93" s="44">
        <v>46282</v>
      </c>
      <c r="B93" s="4" t="s">
        <v>367</v>
      </c>
      <c r="C93" s="5" t="s">
        <v>352</v>
      </c>
      <c r="D93" s="5">
        <v>17</v>
      </c>
      <c r="E93" s="5" t="str">
        <f>_xlfn.TEXTJOIN("+",TRUE,Table1[[#This Row],[Snapshot]:[ID]])</f>
        <v>46282+DIR-280B4D47C693</v>
      </c>
      <c r="F93" s="5"/>
      <c r="G93" s="5" t="s">
        <v>1808</v>
      </c>
      <c r="H93" s="20" t="s">
        <v>1809</v>
      </c>
      <c r="I93" s="5" t="s">
        <v>69</v>
      </c>
      <c r="J93" s="4" t="s">
        <v>30</v>
      </c>
      <c r="K93" s="4" t="str" cm="1">
        <f t="array" ref="K9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93" s="4" t="s">
        <v>352</v>
      </c>
      <c r="M93" s="4" t="s">
        <v>368</v>
      </c>
      <c r="N93" s="4" t="s">
        <v>1702</v>
      </c>
      <c r="O93" s="4" t="s">
        <v>275</v>
      </c>
      <c r="P93" s="6">
        <v>46256</v>
      </c>
      <c r="Q93" s="6">
        <v>46256</v>
      </c>
      <c r="R93" s="5">
        <v>1</v>
      </c>
      <c r="S93" s="5" t="s">
        <v>369</v>
      </c>
      <c r="T93" s="13">
        <v>46387</v>
      </c>
      <c r="U93" s="13">
        <v>46387</v>
      </c>
      <c r="V93" s="5">
        <v>0</v>
      </c>
      <c r="W93" s="22">
        <f>_xlfn.LET(
_xlpm.H,Table1[[#This Row],[Thời hạn mới nhất (Date)]],
_xlpm.S,Table1[[#This Row],[Snapshot]],
IF(
    ISNUMBER(_xlpm.H),
    INT(_xlpm.H)-INT(_xlpm.S),
    "Không giao thời hạn"
))</f>
        <v>105</v>
      </c>
      <c r="X93" s="4" t="s">
        <v>370</v>
      </c>
      <c r="Y93" s="5"/>
      <c r="Z93" s="5" t="s">
        <v>35</v>
      </c>
      <c r="AA93" s="5"/>
      <c r="AB93" s="4"/>
      <c r="AC93" s="6"/>
      <c r="AD93" s="6"/>
      <c r="AE93" s="4">
        <v>0</v>
      </c>
      <c r="AF93" s="26" t="str">
        <f>_xlfn.LET(
_xlpm.H,Table1[[#This Row],[Thời hạn mới nhất (Date)]],
_xlpm.D,Table1[[#This Row],[Dự kiến mới nhất (Date)]],
IF(
NOT(ISNUMBER(_xlpm.H)),"Không giao thời hạn",
IF(
NOT(ISNUMBER(_xlpm.D)),"Chưa có dự kiến",
_xlpm.D-_xlpm.H
)))</f>
        <v>Chưa có dự kiến</v>
      </c>
    </row>
    <row r="94" spans="1:32" ht="218.6" x14ac:dyDescent="0.4">
      <c r="A94" s="44">
        <v>46275</v>
      </c>
      <c r="B94" s="4" t="s">
        <v>367</v>
      </c>
      <c r="C94" s="5" t="s">
        <v>352</v>
      </c>
      <c r="D94" s="5">
        <v>17</v>
      </c>
      <c r="E94" s="5" t="str">
        <f>_xlfn.TEXTJOIN("+",TRUE,Table1[[#This Row],[Snapshot]:[ID]])</f>
        <v>46275+DIR-280B4D47C693</v>
      </c>
      <c r="F94" s="5"/>
      <c r="G94" s="5" t="s">
        <v>1810</v>
      </c>
      <c r="H94" s="20" t="s">
        <v>1811</v>
      </c>
      <c r="I94" s="5" t="s">
        <v>69</v>
      </c>
      <c r="J94" s="4" t="s">
        <v>30</v>
      </c>
      <c r="K94" s="4" t="str" cm="1">
        <f t="array" ref="K9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94" s="4" t="s">
        <v>352</v>
      </c>
      <c r="M94" s="4" t="s">
        <v>368</v>
      </c>
      <c r="N94" s="4" t="s">
        <v>1702</v>
      </c>
      <c r="O94" s="4" t="s">
        <v>275</v>
      </c>
      <c r="P94" s="6">
        <v>46256</v>
      </c>
      <c r="Q94" s="6">
        <v>46256</v>
      </c>
      <c r="R94" s="5">
        <v>1</v>
      </c>
      <c r="S94" s="5" t="s">
        <v>369</v>
      </c>
      <c r="T94" s="13">
        <v>46387</v>
      </c>
      <c r="U94" s="13">
        <v>46387</v>
      </c>
      <c r="V94" s="5">
        <v>0</v>
      </c>
      <c r="W94" s="22">
        <f>_xlfn.LET(
_xlpm.H,Table1[[#This Row],[Thời hạn mới nhất (Date)]],
_xlpm.S,Table1[[#This Row],[Snapshot]],
IF(
    ISNUMBER(_xlpm.H),
    INT(_xlpm.H)-INT(_xlpm.S),
    "Không giao thời hạn"
))</f>
        <v>112</v>
      </c>
      <c r="X94" s="4" t="s">
        <v>370</v>
      </c>
      <c r="Y94" s="5"/>
      <c r="Z94" s="5" t="s">
        <v>35</v>
      </c>
      <c r="AA94" s="5"/>
      <c r="AB94" s="4"/>
      <c r="AC94" s="6"/>
      <c r="AD94" s="6"/>
      <c r="AE94" s="4">
        <v>0</v>
      </c>
      <c r="AF94" s="26" t="str">
        <f>_xlfn.LET(
_xlpm.H,Table1[[#This Row],[Thời hạn mới nhất (Date)]],
_xlpm.D,Table1[[#This Row],[Dự kiến mới nhất (Date)]],
IF(
NOT(ISNUMBER(_xlpm.H)),"Không giao thời hạn",
IF(
NOT(ISNUMBER(_xlpm.D)),"Chưa có dự kiến",
_xlpm.D-_xlpm.H
)))</f>
        <v>Chưa có dự kiến</v>
      </c>
    </row>
    <row r="95" spans="1:32" ht="145.75" x14ac:dyDescent="0.4">
      <c r="A95" s="44">
        <v>46282</v>
      </c>
      <c r="B95" s="4" t="s">
        <v>642</v>
      </c>
      <c r="C95" s="5" t="s">
        <v>607</v>
      </c>
      <c r="D95" s="5">
        <v>23</v>
      </c>
      <c r="E95" s="5" t="str">
        <f>_xlfn.TEXTJOIN("+",TRUE,Table1[[#This Row],[Snapshot]:[ID]])</f>
        <v>46282+DIR-2968ED43D186</v>
      </c>
      <c r="F95" s="5"/>
      <c r="G95" s="5" t="s">
        <v>1362</v>
      </c>
      <c r="H95" s="20" t="s">
        <v>1363</v>
      </c>
      <c r="I95" s="5" t="s">
        <v>97</v>
      </c>
      <c r="J95" s="4" t="s">
        <v>30</v>
      </c>
      <c r="K95" s="4" t="str" cm="1">
        <f t="array" ref="K9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37. Sở hữu trí tuệ, Bản quyền và Bảo hộ Thương hiệu</v>
      </c>
      <c r="L95" s="4" t="s">
        <v>607</v>
      </c>
      <c r="M95" s="4" t="s">
        <v>643</v>
      </c>
      <c r="N95" s="4" t="s">
        <v>1700</v>
      </c>
      <c r="O95" s="4" t="s">
        <v>191</v>
      </c>
      <c r="P95" s="6">
        <v>46262</v>
      </c>
      <c r="Q95" s="6">
        <v>46262</v>
      </c>
      <c r="R95" s="5">
        <v>1</v>
      </c>
      <c r="S95" s="5"/>
      <c r="T95" s="13"/>
      <c r="U95" s="13"/>
      <c r="V95" s="5">
        <v>0</v>
      </c>
      <c r="W95" s="22" t="str">
        <f>_xlfn.LET(
_xlpm.H,Table1[[#This Row],[Thời hạn mới nhất (Date)]],
_xlpm.S,Table1[[#This Row],[Snapshot]],
IF(
    ISNUMBER(_xlpm.H),
    INT(_xlpm.H)-INT(_xlpm.S),
    "Không giao thời hạn"
))</f>
        <v>Không giao thời hạn</v>
      </c>
      <c r="X95" s="4" t="s">
        <v>644</v>
      </c>
      <c r="Y95" s="5"/>
      <c r="Z95" s="5" t="s">
        <v>35</v>
      </c>
      <c r="AA95" s="5"/>
      <c r="AB95" s="4"/>
      <c r="AC95" s="6"/>
      <c r="AD95" s="6"/>
      <c r="AE95" s="4">
        <v>0</v>
      </c>
      <c r="AF95" s="26" t="str">
        <f>_xlfn.LET(
_xlpm.H,Table1[[#This Row],[Thời hạn mới nhất (Date)]],
_xlpm.D,Table1[[#This Row],[Dự kiến mới nhất (Date)]],
IF(
NOT(ISNUMBER(_xlpm.H)),"Không giao thời hạn",
IF(
NOT(ISNUMBER(_xlpm.D)),"Chưa có dự kiến",
_xlpm.D-_xlpm.H
)))</f>
        <v>Không giao thời hạn</v>
      </c>
    </row>
    <row r="96" spans="1:32" ht="102" x14ac:dyDescent="0.4">
      <c r="A96" s="44">
        <v>46275</v>
      </c>
      <c r="B96" s="4" t="s">
        <v>642</v>
      </c>
      <c r="C96" s="5" t="s">
        <v>607</v>
      </c>
      <c r="D96" s="5">
        <v>23</v>
      </c>
      <c r="E96" s="5" t="str">
        <f>_xlfn.TEXTJOIN("+",TRUE,Table1[[#This Row],[Snapshot]:[ID]])</f>
        <v>46275+DIR-2968ED43D186</v>
      </c>
      <c r="F96" s="5"/>
      <c r="G96" s="5" t="s">
        <v>1364</v>
      </c>
      <c r="H96" s="20" t="s">
        <v>1365</v>
      </c>
      <c r="I96" s="5" t="s">
        <v>97</v>
      </c>
      <c r="J96" s="4" t="s">
        <v>30</v>
      </c>
      <c r="K96" s="4" t="str" cm="1">
        <f t="array" ref="K9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37. Sở hữu trí tuệ, Bản quyền và Bảo hộ Thương hiệu</v>
      </c>
      <c r="L96" s="4" t="s">
        <v>607</v>
      </c>
      <c r="M96" s="4" t="s">
        <v>643</v>
      </c>
      <c r="N96" s="4" t="s">
        <v>1700</v>
      </c>
      <c r="O96" s="4" t="s">
        <v>191</v>
      </c>
      <c r="P96" s="6">
        <v>46262</v>
      </c>
      <c r="Q96" s="6">
        <v>46262</v>
      </c>
      <c r="R96" s="5">
        <v>1</v>
      </c>
      <c r="S96" s="5"/>
      <c r="T96" s="13"/>
      <c r="U96" s="13"/>
      <c r="V96" s="5">
        <v>0</v>
      </c>
      <c r="W96" s="22" t="str">
        <f>_xlfn.LET(
_xlpm.H,Table1[[#This Row],[Thời hạn mới nhất (Date)]],
_xlpm.S,Table1[[#This Row],[Snapshot]],
IF(
    ISNUMBER(_xlpm.H),
    INT(_xlpm.H)-INT(_xlpm.S),
    "Không giao thời hạn"
))</f>
        <v>Không giao thời hạn</v>
      </c>
      <c r="X96" s="4" t="s">
        <v>644</v>
      </c>
      <c r="Y96" s="5"/>
      <c r="Z96" s="5" t="s">
        <v>35</v>
      </c>
      <c r="AA96" s="5"/>
      <c r="AB96" s="4"/>
      <c r="AC96" s="6"/>
      <c r="AD96" s="6"/>
      <c r="AE96" s="4">
        <v>0</v>
      </c>
      <c r="AF96" s="26" t="str">
        <f>_xlfn.LET(
_xlpm.H,Table1[[#This Row],[Thời hạn mới nhất (Date)]],
_xlpm.D,Table1[[#This Row],[Dự kiến mới nhất (Date)]],
IF(
NOT(ISNUMBER(_xlpm.H)),"Không giao thời hạn",
IF(
NOT(ISNUMBER(_xlpm.D)),"Chưa có dự kiến",
_xlpm.D-_xlpm.H
)))</f>
        <v>Không giao thời hạn</v>
      </c>
    </row>
    <row r="97" spans="1:32" ht="262.3" x14ac:dyDescent="0.4">
      <c r="A97" s="44">
        <v>46282</v>
      </c>
      <c r="B97" s="4" t="s">
        <v>683</v>
      </c>
      <c r="C97" s="5" t="s">
        <v>607</v>
      </c>
      <c r="D97" s="5">
        <v>37</v>
      </c>
      <c r="E97" s="5" t="str">
        <f>_xlfn.TEXTJOIN("+",TRUE,Table1[[#This Row],[Snapshot]:[ID]])</f>
        <v>46282+DIR-2AF882E523A6</v>
      </c>
      <c r="F97" s="5"/>
      <c r="G97" s="20" t="s">
        <v>1237</v>
      </c>
      <c r="H97" s="20" t="s">
        <v>1236</v>
      </c>
      <c r="I97" s="5" t="s">
        <v>97</v>
      </c>
      <c r="J97" s="4" t="s">
        <v>200</v>
      </c>
      <c r="K97" s="4" t="str" cm="1">
        <f t="array" ref="K9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97" s="4" t="s">
        <v>607</v>
      </c>
      <c r="M97" s="4" t="s">
        <v>684</v>
      </c>
      <c r="N97" s="4" t="s">
        <v>1700</v>
      </c>
      <c r="O97" s="4" t="s">
        <v>685</v>
      </c>
      <c r="P97" s="6">
        <v>46004</v>
      </c>
      <c r="Q97" s="6">
        <v>46032</v>
      </c>
      <c r="R97" s="5">
        <v>2</v>
      </c>
      <c r="S97" s="5"/>
      <c r="T97" s="13"/>
      <c r="U97" s="13"/>
      <c r="V97" s="5">
        <v>0</v>
      </c>
      <c r="W97" s="22" t="str">
        <f>_xlfn.LET(
_xlpm.H,Table1[[#This Row],[Thời hạn mới nhất (Date)]],
_xlpm.S,Table1[[#This Row],[Snapshot]],
IF(
    ISNUMBER(_xlpm.H),
    INT(_xlpm.H)-INT(_xlpm.S),
    "Không giao thời hạn"
))</f>
        <v>Không giao thời hạn</v>
      </c>
      <c r="X97" s="4" t="s">
        <v>686</v>
      </c>
      <c r="Y97" s="5"/>
      <c r="Z97" s="5" t="s">
        <v>35</v>
      </c>
      <c r="AA97" s="5"/>
      <c r="AB97" s="4" t="s">
        <v>61</v>
      </c>
      <c r="AC97" s="6"/>
      <c r="AD97" s="6"/>
      <c r="AE97" s="4">
        <v>0</v>
      </c>
      <c r="AF97" s="26" t="str">
        <f>_xlfn.LET(
_xlpm.H,Table1[[#This Row],[Thời hạn mới nhất (Date)]],
_xlpm.D,Table1[[#This Row],[Dự kiến mới nhất (Date)]],
IF(
NOT(ISNUMBER(_xlpm.H)),"Không giao thời hạn",
IF(
NOT(ISNUMBER(_xlpm.D)),"Chưa có dự kiến",
_xlpm.D-_xlpm.H
)))</f>
        <v>Không giao thời hạn</v>
      </c>
    </row>
    <row r="98" spans="1:32" ht="262.3" x14ac:dyDescent="0.4">
      <c r="A98" s="44">
        <v>46275</v>
      </c>
      <c r="B98" s="4" t="s">
        <v>683</v>
      </c>
      <c r="C98" s="5" t="s">
        <v>607</v>
      </c>
      <c r="D98" s="5">
        <v>37</v>
      </c>
      <c r="E98" s="5" t="str">
        <f>_xlfn.TEXTJOIN("+",TRUE,Table1[[#This Row],[Snapshot]:[ID]])</f>
        <v>46275+DIR-2AF882E523A6</v>
      </c>
      <c r="F98" s="5"/>
      <c r="G98" s="20" t="s">
        <v>1237</v>
      </c>
      <c r="H98" s="20" t="s">
        <v>1236</v>
      </c>
      <c r="I98" s="5" t="s">
        <v>97</v>
      </c>
      <c r="J98" s="4" t="s">
        <v>200</v>
      </c>
      <c r="K98" s="4" t="str" cm="1">
        <f t="array" ref="K9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98" s="4" t="s">
        <v>607</v>
      </c>
      <c r="M98" s="4" t="s">
        <v>684</v>
      </c>
      <c r="N98" s="4" t="s">
        <v>1700</v>
      </c>
      <c r="O98" s="4" t="s">
        <v>685</v>
      </c>
      <c r="P98" s="6">
        <v>46004</v>
      </c>
      <c r="Q98" s="6">
        <v>46032</v>
      </c>
      <c r="R98" s="5">
        <v>2</v>
      </c>
      <c r="S98" s="5"/>
      <c r="T98" s="13"/>
      <c r="U98" s="13"/>
      <c r="V98" s="5">
        <v>0</v>
      </c>
      <c r="W98" s="22" t="str">
        <f>_xlfn.LET(
_xlpm.H,Table1[[#This Row],[Thời hạn mới nhất (Date)]],
_xlpm.S,Table1[[#This Row],[Snapshot]],
IF(
    ISNUMBER(_xlpm.H),
    INT(_xlpm.H)-INT(_xlpm.S),
    "Không giao thời hạn"
))</f>
        <v>Không giao thời hạn</v>
      </c>
      <c r="X98" s="4" t="s">
        <v>686</v>
      </c>
      <c r="Y98" s="5"/>
      <c r="Z98" s="5" t="s">
        <v>35</v>
      </c>
      <c r="AA98" s="5"/>
      <c r="AB98" s="4" t="s">
        <v>61</v>
      </c>
      <c r="AC98" s="6"/>
      <c r="AD98" s="6"/>
      <c r="AE98" s="4">
        <v>0</v>
      </c>
      <c r="AF98" s="26" t="str">
        <f>_xlfn.LET(
_xlpm.H,Table1[[#This Row],[Thời hạn mới nhất (Date)]],
_xlpm.D,Table1[[#This Row],[Dự kiến mới nhất (Date)]],
IF(
NOT(ISNUMBER(_xlpm.H)),"Không giao thời hạn",
IF(
NOT(ISNUMBER(_xlpm.D)),"Chưa có dự kiến",
_xlpm.D-_xlpm.H
)))</f>
        <v>Không giao thời hạn</v>
      </c>
    </row>
    <row r="99" spans="1:32" ht="335.15" x14ac:dyDescent="0.4">
      <c r="A99" s="44">
        <v>46282</v>
      </c>
      <c r="B99" s="4" t="s">
        <v>43</v>
      </c>
      <c r="C99" s="5" t="s">
        <v>44</v>
      </c>
      <c r="D99" s="5">
        <v>13</v>
      </c>
      <c r="E99" s="5" t="str">
        <f>_xlfn.TEXTJOIN("+",TRUE,Table1[[#This Row],[Snapshot]:[ID]])</f>
        <v>46282+DIR-2C364476363E</v>
      </c>
      <c r="F99" s="5"/>
      <c r="G99" s="20" t="s">
        <v>1223</v>
      </c>
      <c r="H99" s="20" t="s">
        <v>1222</v>
      </c>
      <c r="I99" s="5" t="s">
        <v>45</v>
      </c>
      <c r="J99" s="4" t="s">
        <v>30</v>
      </c>
      <c r="K99" s="4" t="str" cm="1">
        <f t="array" ref="K9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99" s="4" t="s">
        <v>44</v>
      </c>
      <c r="M99" s="4" t="s">
        <v>46</v>
      </c>
      <c r="N99" s="4" t="s">
        <v>1703</v>
      </c>
      <c r="O99" s="4" t="s">
        <v>47</v>
      </c>
      <c r="P99" s="6">
        <v>46095</v>
      </c>
      <c r="Q99" s="6">
        <v>46109</v>
      </c>
      <c r="R99" s="5">
        <v>2</v>
      </c>
      <c r="S99" s="5" t="s">
        <v>48</v>
      </c>
      <c r="T99" s="13">
        <v>46127</v>
      </c>
      <c r="U99" s="13">
        <v>46127</v>
      </c>
      <c r="V99" s="5">
        <v>0</v>
      </c>
      <c r="W99" s="22">
        <f>_xlfn.LET(
_xlpm.H,Table1[[#This Row],[Thời hạn mới nhất (Date)]],
_xlpm.S,Table1[[#This Row],[Snapshot]],
IF(
    ISNUMBER(_xlpm.H),
    INT(_xlpm.H)-INT(_xlpm.S),
    "Không giao thời hạn"
))</f>
        <v>-155</v>
      </c>
      <c r="X99" s="4" t="s">
        <v>49</v>
      </c>
      <c r="Y99" s="5"/>
      <c r="Z99" s="5" t="s">
        <v>35</v>
      </c>
      <c r="AA99" s="5"/>
      <c r="AB99" s="4" t="s">
        <v>50</v>
      </c>
      <c r="AC99" s="6"/>
      <c r="AD99" s="6"/>
      <c r="AE99" s="4">
        <v>0</v>
      </c>
      <c r="AF99" s="26" t="str">
        <f>_xlfn.LET(
_xlpm.H,Table1[[#This Row],[Thời hạn mới nhất (Date)]],
_xlpm.D,Table1[[#This Row],[Dự kiến mới nhất (Date)]],
IF(
NOT(ISNUMBER(_xlpm.H)),"Không giao thời hạn",
IF(
NOT(ISNUMBER(_xlpm.D)),"Chưa có dự kiến",
_xlpm.D-_xlpm.H
)))</f>
        <v>Chưa có dự kiến</v>
      </c>
    </row>
    <row r="100" spans="1:32" ht="335.15" x14ac:dyDescent="0.4">
      <c r="A100" s="44">
        <v>46275</v>
      </c>
      <c r="B100" s="4" t="s">
        <v>43</v>
      </c>
      <c r="C100" s="5" t="s">
        <v>44</v>
      </c>
      <c r="D100" s="5">
        <v>13</v>
      </c>
      <c r="E100" s="5" t="str">
        <f>_xlfn.TEXTJOIN("+",TRUE,Table1[[#This Row],[Snapshot]:[ID]])</f>
        <v>46275+DIR-2C364476363E</v>
      </c>
      <c r="F100" s="5"/>
      <c r="G100" s="20" t="s">
        <v>1223</v>
      </c>
      <c r="H100" s="20" t="s">
        <v>1222</v>
      </c>
      <c r="I100" s="5" t="s">
        <v>45</v>
      </c>
      <c r="J100" s="4" t="s">
        <v>30</v>
      </c>
      <c r="K100" s="4" t="str" cm="1">
        <f t="array" ref="K10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100" s="4" t="s">
        <v>44</v>
      </c>
      <c r="M100" s="4" t="s">
        <v>46</v>
      </c>
      <c r="N100" s="4" t="s">
        <v>1703</v>
      </c>
      <c r="O100" s="4" t="s">
        <v>47</v>
      </c>
      <c r="P100" s="6">
        <v>46095</v>
      </c>
      <c r="Q100" s="6">
        <v>46109</v>
      </c>
      <c r="R100" s="5">
        <v>2</v>
      </c>
      <c r="S100" s="5" t="s">
        <v>48</v>
      </c>
      <c r="T100" s="13">
        <v>46127</v>
      </c>
      <c r="U100" s="13">
        <v>46127</v>
      </c>
      <c r="V100" s="5">
        <v>0</v>
      </c>
      <c r="W100" s="22">
        <f>_xlfn.LET(
_xlpm.H,Table1[[#This Row],[Thời hạn mới nhất (Date)]],
_xlpm.S,Table1[[#This Row],[Snapshot]],
IF(
    ISNUMBER(_xlpm.H),
    INT(_xlpm.H)-INT(_xlpm.S),
    "Không giao thời hạn"
))</f>
        <v>-148</v>
      </c>
      <c r="X100" s="4" t="s">
        <v>49</v>
      </c>
      <c r="Y100" s="5"/>
      <c r="Z100" s="5" t="s">
        <v>35</v>
      </c>
      <c r="AA100" s="5"/>
      <c r="AB100" s="4" t="s">
        <v>50</v>
      </c>
      <c r="AC100" s="6"/>
      <c r="AD100" s="6"/>
      <c r="AE100" s="4">
        <v>0</v>
      </c>
      <c r="AF100" s="26" t="str">
        <f>_xlfn.LET(
_xlpm.H,Table1[[#This Row],[Thời hạn mới nhất (Date)]],
_xlpm.D,Table1[[#This Row],[Dự kiến mới nhất (Date)]],
IF(
NOT(ISNUMBER(_xlpm.H)),"Không giao thời hạn",
IF(
NOT(ISNUMBER(_xlpm.D)),"Chưa có dự kiến",
_xlpm.D-_xlpm.H
)))</f>
        <v>Chưa có dự kiến</v>
      </c>
    </row>
    <row r="101" spans="1:32" ht="160.30000000000001" x14ac:dyDescent="0.4">
      <c r="A101" s="44">
        <v>46282</v>
      </c>
      <c r="B101" s="4" t="s">
        <v>890</v>
      </c>
      <c r="C101" s="5" t="s">
        <v>888</v>
      </c>
      <c r="D101" s="5">
        <v>14</v>
      </c>
      <c r="E101" s="5" t="str">
        <f>_xlfn.TEXTJOIN("+",TRUE,Table1[[#This Row],[Snapshot]:[ID]])</f>
        <v>46282+DIR-2CD4404AE463</v>
      </c>
      <c r="F101" s="5"/>
      <c r="G101" s="5" t="s">
        <v>1812</v>
      </c>
      <c r="H101" s="20" t="s">
        <v>1813</v>
      </c>
      <c r="I101" s="5" t="s">
        <v>52</v>
      </c>
      <c r="J101" s="4" t="s">
        <v>30</v>
      </c>
      <c r="K101" s="4" t="str" cm="1">
        <f t="array" ref="K10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33. Đối ngoại và Công tác Quốc tế của Ban Lãnh đạo</v>
      </c>
      <c r="L101" s="4" t="s">
        <v>888</v>
      </c>
      <c r="M101" s="4" t="s">
        <v>891</v>
      </c>
      <c r="N101" s="4" t="s">
        <v>1711</v>
      </c>
      <c r="O101" s="4" t="s">
        <v>275</v>
      </c>
      <c r="P101" s="6">
        <v>46256</v>
      </c>
      <c r="Q101" s="6">
        <v>46256</v>
      </c>
      <c r="R101" s="5">
        <v>1</v>
      </c>
      <c r="S101" s="5" t="s">
        <v>892</v>
      </c>
      <c r="T101" s="13">
        <v>46280</v>
      </c>
      <c r="U101" s="13">
        <v>46280</v>
      </c>
      <c r="V101" s="5">
        <v>0</v>
      </c>
      <c r="W101" s="22">
        <f>_xlfn.LET(
_xlpm.H,Table1[[#This Row],[Thời hạn mới nhất (Date)]],
_xlpm.S,Table1[[#This Row],[Snapshot]],
IF(
    ISNUMBER(_xlpm.H),
    INT(_xlpm.H)-INT(_xlpm.S),
    "Không giao thời hạn"
))</f>
        <v>-2</v>
      </c>
      <c r="X101" s="4" t="s">
        <v>893</v>
      </c>
      <c r="Y101" s="5"/>
      <c r="Z101" s="5" t="s">
        <v>35</v>
      </c>
      <c r="AA101" s="5"/>
      <c r="AB101" s="4"/>
      <c r="AC101" s="6"/>
      <c r="AD101" s="6"/>
      <c r="AE101" s="4">
        <v>0</v>
      </c>
      <c r="AF101" s="26" t="str">
        <f>_xlfn.LET(
_xlpm.H,Table1[[#This Row],[Thời hạn mới nhất (Date)]],
_xlpm.D,Table1[[#This Row],[Dự kiến mới nhất (Date)]],
IF(
NOT(ISNUMBER(_xlpm.H)),"Không giao thời hạn",
IF(
NOT(ISNUMBER(_xlpm.D)),"Chưa có dự kiến",
_xlpm.D-_xlpm.H
)))</f>
        <v>Chưa có dự kiến</v>
      </c>
    </row>
    <row r="102" spans="1:32" ht="116.6" x14ac:dyDescent="0.4">
      <c r="A102" s="44">
        <v>46275</v>
      </c>
      <c r="B102" s="4" t="s">
        <v>890</v>
      </c>
      <c r="C102" s="5" t="s">
        <v>888</v>
      </c>
      <c r="D102" s="5">
        <v>14</v>
      </c>
      <c r="E102" s="5" t="str">
        <f>_xlfn.TEXTJOIN("+",TRUE,Table1[[#This Row],[Snapshot]:[ID]])</f>
        <v>46275+DIR-2CD4404AE463</v>
      </c>
      <c r="F102" s="5"/>
      <c r="G102" s="5" t="s">
        <v>1388</v>
      </c>
      <c r="H102" s="20" t="s">
        <v>1389</v>
      </c>
      <c r="I102" s="5" t="s">
        <v>52</v>
      </c>
      <c r="J102" s="4" t="s">
        <v>30</v>
      </c>
      <c r="K102" s="4" t="str" cm="1">
        <f t="array" ref="K10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33. Đối ngoại và Công tác Quốc tế của Ban Lãnh đạo</v>
      </c>
      <c r="L102" s="4" t="s">
        <v>888</v>
      </c>
      <c r="M102" s="4" t="s">
        <v>891</v>
      </c>
      <c r="N102" s="4" t="s">
        <v>1711</v>
      </c>
      <c r="O102" s="4" t="s">
        <v>275</v>
      </c>
      <c r="P102" s="6">
        <v>46256</v>
      </c>
      <c r="Q102" s="6">
        <v>46256</v>
      </c>
      <c r="R102" s="5">
        <v>1</v>
      </c>
      <c r="S102" s="5" t="s">
        <v>892</v>
      </c>
      <c r="T102" s="13">
        <v>46280</v>
      </c>
      <c r="U102" s="13">
        <v>46280</v>
      </c>
      <c r="V102" s="5">
        <v>0</v>
      </c>
      <c r="W102" s="22">
        <f>_xlfn.LET(
_xlpm.H,Table1[[#This Row],[Thời hạn mới nhất (Date)]],
_xlpm.S,Table1[[#This Row],[Snapshot]],
IF(
    ISNUMBER(_xlpm.H),
    INT(_xlpm.H)-INT(_xlpm.S),
    "Không giao thời hạn"
))</f>
        <v>5</v>
      </c>
      <c r="X102" s="4" t="s">
        <v>893</v>
      </c>
      <c r="Y102" s="5"/>
      <c r="Z102" s="5" t="s">
        <v>35</v>
      </c>
      <c r="AA102" s="5"/>
      <c r="AB102" s="4"/>
      <c r="AC102" s="6"/>
      <c r="AD102" s="6"/>
      <c r="AE102" s="4">
        <v>0</v>
      </c>
      <c r="AF102" s="26" t="str">
        <f>_xlfn.LET(
_xlpm.H,Table1[[#This Row],[Thời hạn mới nhất (Date)]],
_xlpm.D,Table1[[#This Row],[Dự kiến mới nhất (Date)]],
IF(
NOT(ISNUMBER(_xlpm.H)),"Không giao thời hạn",
IF(
NOT(ISNUMBER(_xlpm.D)),"Chưa có dự kiến",
_xlpm.D-_xlpm.H
)))</f>
        <v>Chưa có dự kiến</v>
      </c>
    </row>
    <row r="103" spans="1:32" ht="189.45" x14ac:dyDescent="0.4">
      <c r="A103" s="44">
        <v>46282</v>
      </c>
      <c r="B103" s="4" t="s">
        <v>216</v>
      </c>
      <c r="C103" s="5" t="s">
        <v>44</v>
      </c>
      <c r="D103" s="5">
        <v>49</v>
      </c>
      <c r="E103" s="5" t="str">
        <f>_xlfn.TEXTJOIN("+",TRUE,Table1[[#This Row],[Snapshot]:[ID]])</f>
        <v>46282+DIR-2CF51A3487B1</v>
      </c>
      <c r="F103" s="5"/>
      <c r="G103" s="20" t="s">
        <v>1244</v>
      </c>
      <c r="H103" s="20" t="s">
        <v>1245</v>
      </c>
      <c r="I103" s="5" t="s">
        <v>69</v>
      </c>
      <c r="J103" s="4" t="s">
        <v>200</v>
      </c>
      <c r="K103" s="4" t="str" cm="1">
        <f t="array" ref="K10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103" s="4" t="s">
        <v>44</v>
      </c>
      <c r="M103" s="4" t="s">
        <v>217</v>
      </c>
      <c r="N103" s="4" t="s">
        <v>1703</v>
      </c>
      <c r="O103" s="4" t="s">
        <v>218</v>
      </c>
      <c r="P103" s="6">
        <v>45997</v>
      </c>
      <c r="Q103" s="6">
        <v>45997</v>
      </c>
      <c r="R103" s="5">
        <v>1</v>
      </c>
      <c r="S103" s="5" t="s">
        <v>219</v>
      </c>
      <c r="T103" s="13">
        <v>46022</v>
      </c>
      <c r="U103" s="13">
        <v>46022</v>
      </c>
      <c r="V103" s="5">
        <v>0</v>
      </c>
      <c r="W103" s="22">
        <f>_xlfn.LET(
_xlpm.H,Table1[[#This Row],[Thời hạn mới nhất (Date)]],
_xlpm.S,Table1[[#This Row],[Snapshot]],
IF(
    ISNUMBER(_xlpm.H),
    INT(_xlpm.H)-INT(_xlpm.S),
    "Không giao thời hạn"
))</f>
        <v>-260</v>
      </c>
      <c r="X103" s="4" t="s">
        <v>220</v>
      </c>
      <c r="Y103" s="5"/>
      <c r="Z103" s="5" t="s">
        <v>35</v>
      </c>
      <c r="AA103" s="5"/>
      <c r="AB103" s="4" t="s">
        <v>221</v>
      </c>
      <c r="AC103" s="6"/>
      <c r="AD103" s="6"/>
      <c r="AE103" s="4">
        <v>0</v>
      </c>
      <c r="AF103" s="26" t="str">
        <f>_xlfn.LET(
_xlpm.H,Table1[[#This Row],[Thời hạn mới nhất (Date)]],
_xlpm.D,Table1[[#This Row],[Dự kiến mới nhất (Date)]],
IF(
NOT(ISNUMBER(_xlpm.H)),"Không giao thời hạn",
IF(
NOT(ISNUMBER(_xlpm.D)),"Chưa có dự kiến",
_xlpm.D-_xlpm.H
)))</f>
        <v>Chưa có dự kiến</v>
      </c>
    </row>
    <row r="104" spans="1:32" ht="189.45" x14ac:dyDescent="0.4">
      <c r="A104" s="44">
        <v>46275</v>
      </c>
      <c r="B104" s="4" t="s">
        <v>216</v>
      </c>
      <c r="C104" s="5" t="s">
        <v>44</v>
      </c>
      <c r="D104" s="5">
        <v>50</v>
      </c>
      <c r="E104" s="5" t="str">
        <f>_xlfn.TEXTJOIN("+",TRUE,Table1[[#This Row],[Snapshot]:[ID]])</f>
        <v>46275+DIR-2CF51A3487B1</v>
      </c>
      <c r="F104" s="5"/>
      <c r="G104" s="20" t="s">
        <v>1246</v>
      </c>
      <c r="H104" s="20" t="s">
        <v>1247</v>
      </c>
      <c r="I104" s="5" t="s">
        <v>69</v>
      </c>
      <c r="J104" s="4" t="s">
        <v>200</v>
      </c>
      <c r="K104" s="4" t="str" cm="1">
        <f t="array" ref="K10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104" s="4" t="s">
        <v>44</v>
      </c>
      <c r="M104" s="4" t="s">
        <v>217</v>
      </c>
      <c r="N104" s="4" t="s">
        <v>1703</v>
      </c>
      <c r="O104" s="4" t="s">
        <v>218</v>
      </c>
      <c r="P104" s="6">
        <v>45997</v>
      </c>
      <c r="Q104" s="6">
        <v>45997</v>
      </c>
      <c r="R104" s="5">
        <v>1</v>
      </c>
      <c r="S104" s="5" t="s">
        <v>219</v>
      </c>
      <c r="T104" s="13">
        <v>46022</v>
      </c>
      <c r="U104" s="13">
        <v>46022</v>
      </c>
      <c r="V104" s="5">
        <v>0</v>
      </c>
      <c r="W104" s="22">
        <f>_xlfn.LET(
_xlpm.H,Table1[[#This Row],[Thời hạn mới nhất (Date)]],
_xlpm.S,Table1[[#This Row],[Snapshot]],
IF(
    ISNUMBER(_xlpm.H),
    INT(_xlpm.H)-INT(_xlpm.S),
    "Không giao thời hạn"
))</f>
        <v>-253</v>
      </c>
      <c r="X104" s="4" t="s">
        <v>220</v>
      </c>
      <c r="Y104" s="5"/>
      <c r="Z104" s="5" t="s">
        <v>35</v>
      </c>
      <c r="AA104" s="5"/>
      <c r="AB104" s="4" t="s">
        <v>221</v>
      </c>
      <c r="AC104" s="6"/>
      <c r="AD104" s="6"/>
      <c r="AE104" s="4">
        <v>0</v>
      </c>
      <c r="AF104" s="26" t="str">
        <f>_xlfn.LET(
_xlpm.H,Table1[[#This Row],[Thời hạn mới nhất (Date)]],
_xlpm.D,Table1[[#This Row],[Dự kiến mới nhất (Date)]],
IF(
NOT(ISNUMBER(_xlpm.H)),"Không giao thời hạn",
IF(
NOT(ISNUMBER(_xlpm.D)),"Chưa có dự kiến",
_xlpm.D-_xlpm.H
)))</f>
        <v>Chưa có dự kiến</v>
      </c>
    </row>
    <row r="105" spans="1:32" ht="174.9" x14ac:dyDescent="0.4">
      <c r="A105" s="44">
        <v>46282</v>
      </c>
      <c r="B105" s="4" t="s">
        <v>657</v>
      </c>
      <c r="C105" s="5" t="s">
        <v>607</v>
      </c>
      <c r="D105" s="5">
        <v>30</v>
      </c>
      <c r="E105" s="5" t="str">
        <f>_xlfn.TEXTJOIN("+",TRUE,Table1[[#This Row],[Snapshot]:[ID]])</f>
        <v>46282+DIR-2FFC253B4F14</v>
      </c>
      <c r="F105" s="5"/>
      <c r="G105" s="5" t="s">
        <v>1390</v>
      </c>
      <c r="H105" s="20" t="s">
        <v>1391</v>
      </c>
      <c r="I105" s="5" t="s">
        <v>63</v>
      </c>
      <c r="J105" s="4" t="s">
        <v>200</v>
      </c>
      <c r="K105" s="4" t="str" cm="1">
        <f t="array" ref="K10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15. Mua sắm và Quản lý Nhà cung cấp</v>
      </c>
      <c r="L105" s="4" t="s">
        <v>607</v>
      </c>
      <c r="M105" s="4" t="s">
        <v>658</v>
      </c>
      <c r="N105" s="4" t="s">
        <v>1700</v>
      </c>
      <c r="O105" s="4" t="s">
        <v>659</v>
      </c>
      <c r="P105" s="6">
        <v>46092</v>
      </c>
      <c r="Q105" s="6">
        <v>46092</v>
      </c>
      <c r="R105" s="5">
        <v>1</v>
      </c>
      <c r="S105" s="5"/>
      <c r="T105" s="13"/>
      <c r="U105" s="13"/>
      <c r="V105" s="5">
        <v>0</v>
      </c>
      <c r="W105" s="22" t="str">
        <f>_xlfn.LET(
_xlpm.H,Table1[[#This Row],[Thời hạn mới nhất (Date)]],
_xlpm.S,Table1[[#This Row],[Snapshot]],
IF(
    ISNUMBER(_xlpm.H),
    INT(_xlpm.H)-INT(_xlpm.S),
    "Không giao thời hạn"
))</f>
        <v>Không giao thời hạn</v>
      </c>
      <c r="X105" s="4" t="s">
        <v>660</v>
      </c>
      <c r="Y105" s="5"/>
      <c r="Z105" s="5" t="s">
        <v>35</v>
      </c>
      <c r="AA105" s="5"/>
      <c r="AB105" s="4" t="s">
        <v>61</v>
      </c>
      <c r="AC105" s="6"/>
      <c r="AD105" s="6"/>
      <c r="AE105" s="4">
        <v>0</v>
      </c>
      <c r="AF105" s="26" t="str">
        <f>_xlfn.LET(
_xlpm.H,Table1[[#This Row],[Thời hạn mới nhất (Date)]],
_xlpm.D,Table1[[#This Row],[Dự kiến mới nhất (Date)]],
IF(
NOT(ISNUMBER(_xlpm.H)),"Không giao thời hạn",
IF(
NOT(ISNUMBER(_xlpm.D)),"Chưa có dự kiến",
_xlpm.D-_xlpm.H
)))</f>
        <v>Không giao thời hạn</v>
      </c>
    </row>
    <row r="106" spans="1:32" ht="174.9" x14ac:dyDescent="0.4">
      <c r="A106" s="44">
        <v>46275</v>
      </c>
      <c r="B106" s="4" t="s">
        <v>657</v>
      </c>
      <c r="C106" s="5" t="s">
        <v>607</v>
      </c>
      <c r="D106" s="5">
        <v>30</v>
      </c>
      <c r="E106" s="5" t="str">
        <f>_xlfn.TEXTJOIN("+",TRUE,Table1[[#This Row],[Snapshot]:[ID]])</f>
        <v>46275+DIR-2FFC253B4F14</v>
      </c>
      <c r="F106" s="5"/>
      <c r="G106" s="5" t="s">
        <v>1390</v>
      </c>
      <c r="H106" s="20" t="s">
        <v>1391</v>
      </c>
      <c r="I106" s="5" t="s">
        <v>63</v>
      </c>
      <c r="J106" s="4" t="s">
        <v>200</v>
      </c>
      <c r="K106" s="4" t="str" cm="1">
        <f t="array" ref="K10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15. Mua sắm và Quản lý Nhà cung cấp</v>
      </c>
      <c r="L106" s="4" t="s">
        <v>607</v>
      </c>
      <c r="M106" s="4" t="s">
        <v>658</v>
      </c>
      <c r="N106" s="4" t="s">
        <v>1700</v>
      </c>
      <c r="O106" s="4" t="s">
        <v>659</v>
      </c>
      <c r="P106" s="6">
        <v>46092</v>
      </c>
      <c r="Q106" s="6">
        <v>46092</v>
      </c>
      <c r="R106" s="5">
        <v>1</v>
      </c>
      <c r="S106" s="5"/>
      <c r="T106" s="13"/>
      <c r="U106" s="13"/>
      <c r="V106" s="5">
        <v>0</v>
      </c>
      <c r="W106" s="22" t="str">
        <f>_xlfn.LET(
_xlpm.H,Table1[[#This Row],[Thời hạn mới nhất (Date)]],
_xlpm.S,Table1[[#This Row],[Snapshot]],
IF(
    ISNUMBER(_xlpm.H),
    INT(_xlpm.H)-INT(_xlpm.S),
    "Không giao thời hạn"
))</f>
        <v>Không giao thời hạn</v>
      </c>
      <c r="X106" s="4" t="s">
        <v>660</v>
      </c>
      <c r="Y106" s="5"/>
      <c r="Z106" s="5" t="s">
        <v>35</v>
      </c>
      <c r="AA106" s="5"/>
      <c r="AB106" s="4" t="s">
        <v>61</v>
      </c>
      <c r="AC106" s="6"/>
      <c r="AD106" s="6"/>
      <c r="AE106" s="4">
        <v>0</v>
      </c>
      <c r="AF106" s="26" t="str">
        <f>_xlfn.LET(
_xlpm.H,Table1[[#This Row],[Thời hạn mới nhất (Date)]],
_xlpm.D,Table1[[#This Row],[Dự kiến mới nhất (Date)]],
IF(
NOT(ISNUMBER(_xlpm.H)),"Không giao thời hạn",
IF(
NOT(ISNUMBER(_xlpm.D)),"Chưa có dự kiến",
_xlpm.D-_xlpm.H
)))</f>
        <v>Không giao thời hạn</v>
      </c>
    </row>
    <row r="107" spans="1:32" ht="291.45" x14ac:dyDescent="0.4">
      <c r="A107" s="44">
        <v>46282</v>
      </c>
      <c r="B107" s="4" t="s">
        <v>850</v>
      </c>
      <c r="C107" s="5" t="s">
        <v>688</v>
      </c>
      <c r="D107" s="5">
        <v>67</v>
      </c>
      <c r="E107" s="5" t="str">
        <f>_xlfn.TEXTJOIN("+",TRUE,Table1[[#This Row],[Snapshot]:[ID]])</f>
        <v>46282+DIR-3046F3EB7D7E</v>
      </c>
      <c r="F107" s="5"/>
      <c r="G107" s="5" t="s">
        <v>1299</v>
      </c>
      <c r="H107" s="20" t="s">
        <v>1299</v>
      </c>
      <c r="I107" s="5" t="s">
        <v>57</v>
      </c>
      <c r="J107" s="4" t="s">
        <v>200</v>
      </c>
      <c r="K107" s="4" t="str" cm="1">
        <f t="array" ref="K10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22. Kết nối Số, Thu hộ và Dịch vụ Thanh toán</v>
      </c>
      <c r="L107" s="4" t="s">
        <v>688</v>
      </c>
      <c r="M107" s="4" t="s">
        <v>852</v>
      </c>
      <c r="N107" s="4" t="s">
        <v>1696</v>
      </c>
      <c r="O107" s="4" t="s">
        <v>853</v>
      </c>
      <c r="P107" s="6">
        <v>45990</v>
      </c>
      <c r="Q107" s="6">
        <v>45990</v>
      </c>
      <c r="R107" s="5">
        <v>1</v>
      </c>
      <c r="S107" s="5"/>
      <c r="T107" s="13"/>
      <c r="U107" s="13"/>
      <c r="V107" s="5">
        <v>0</v>
      </c>
      <c r="W107" s="22" t="str">
        <f>_xlfn.LET(
_xlpm.H,Table1[[#This Row],[Thời hạn mới nhất (Date)]],
_xlpm.S,Table1[[#This Row],[Snapshot]],
IF(
    ISNUMBER(_xlpm.H),
    INT(_xlpm.H)-INT(_xlpm.S),
    "Không giao thời hạn"
))</f>
        <v>Không giao thời hạn</v>
      </c>
      <c r="X107" s="4" t="s">
        <v>997</v>
      </c>
      <c r="Y107" s="5"/>
      <c r="Z107" s="5" t="s">
        <v>35</v>
      </c>
      <c r="AA107" s="5"/>
      <c r="AB107" s="4" t="s">
        <v>855</v>
      </c>
      <c r="AC107" s="6"/>
      <c r="AD107" s="6"/>
      <c r="AE107" s="4">
        <v>0</v>
      </c>
      <c r="AF107" s="26" t="str">
        <f>_xlfn.LET(
_xlpm.H,Table1[[#This Row],[Thời hạn mới nhất (Date)]],
_xlpm.D,Table1[[#This Row],[Dự kiến mới nhất (Date)]],
IF(
NOT(ISNUMBER(_xlpm.H)),"Không giao thời hạn",
IF(
NOT(ISNUMBER(_xlpm.D)),"Chưa có dự kiến",
_xlpm.D-_xlpm.H
)))</f>
        <v>Không giao thời hạn</v>
      </c>
    </row>
    <row r="108" spans="1:32" ht="409.6" x14ac:dyDescent="0.4">
      <c r="A108" s="44">
        <v>46275</v>
      </c>
      <c r="B108" s="4" t="s">
        <v>850</v>
      </c>
      <c r="C108" s="5" t="s">
        <v>688</v>
      </c>
      <c r="D108" s="5">
        <v>66</v>
      </c>
      <c r="E108" s="5" t="str">
        <f>_xlfn.TEXTJOIN("+",TRUE,Table1[[#This Row],[Snapshot]:[ID]])</f>
        <v>46275+DIR-3046F3EB7D7E</v>
      </c>
      <c r="F108" s="5"/>
      <c r="G108" s="5" t="s">
        <v>1299</v>
      </c>
      <c r="H108" s="20" t="s">
        <v>1299</v>
      </c>
      <c r="I108" s="5" t="s">
        <v>851</v>
      </c>
      <c r="J108" s="4" t="s">
        <v>200</v>
      </c>
      <c r="K108" s="4" t="str" cm="1">
        <f t="array" ref="K10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22. Kết nối Số, Thu hộ và Dịch vụ Thanh toán</v>
      </c>
      <c r="L108" s="4" t="s">
        <v>688</v>
      </c>
      <c r="M108" s="4" t="s">
        <v>852</v>
      </c>
      <c r="N108" s="4" t="s">
        <v>1696</v>
      </c>
      <c r="O108" s="4" t="s">
        <v>853</v>
      </c>
      <c r="P108" s="6">
        <v>45990</v>
      </c>
      <c r="Q108" s="6">
        <v>45990</v>
      </c>
      <c r="R108" s="5">
        <v>1</v>
      </c>
      <c r="S108" s="5"/>
      <c r="T108" s="13"/>
      <c r="U108" s="13"/>
      <c r="V108" s="5">
        <v>0</v>
      </c>
      <c r="W108" s="22" t="str">
        <f>_xlfn.LET(
_xlpm.H,Table1[[#This Row],[Thời hạn mới nhất (Date)]],
_xlpm.S,Table1[[#This Row],[Snapshot]],
IF(
    ISNUMBER(_xlpm.H),
    INT(_xlpm.H)-INT(_xlpm.S),
    "Không giao thời hạn"
))</f>
        <v>Không giao thời hạn</v>
      </c>
      <c r="X108" s="4" t="s">
        <v>854</v>
      </c>
      <c r="Y108" s="5"/>
      <c r="Z108" s="5" t="s">
        <v>35</v>
      </c>
      <c r="AA108" s="5"/>
      <c r="AB108" s="4" t="s">
        <v>855</v>
      </c>
      <c r="AC108" s="6"/>
      <c r="AD108" s="6"/>
      <c r="AE108" s="4">
        <v>0</v>
      </c>
      <c r="AF108" s="26" t="str">
        <f>_xlfn.LET(
_xlpm.H,Table1[[#This Row],[Thời hạn mới nhất (Date)]],
_xlpm.D,Table1[[#This Row],[Dự kiến mới nhất (Date)]],
IF(
NOT(ISNUMBER(_xlpm.H)),"Không giao thời hạn",
IF(
NOT(ISNUMBER(_xlpm.D)),"Chưa có dự kiến",
_xlpm.D-_xlpm.H
)))</f>
        <v>Không giao thời hạn</v>
      </c>
    </row>
    <row r="109" spans="1:32" ht="160.30000000000001" x14ac:dyDescent="0.4">
      <c r="A109" s="44">
        <v>46282</v>
      </c>
      <c r="B109" s="4" t="s">
        <v>516</v>
      </c>
      <c r="C109" s="5" t="s">
        <v>469</v>
      </c>
      <c r="D109" s="5">
        <v>25</v>
      </c>
      <c r="E109" s="5" t="str">
        <f>_xlfn.TEXTJOIN("+",TRUE,Table1[[#This Row],[Snapshot]:[ID]])</f>
        <v>46282+DIR-341DAFAC98B6</v>
      </c>
      <c r="F109" s="5"/>
      <c r="G109" s="5" t="s">
        <v>1299</v>
      </c>
      <c r="H109" s="20" t="s">
        <v>1299</v>
      </c>
      <c r="I109" s="5" t="s">
        <v>45</v>
      </c>
      <c r="J109" s="4" t="s">
        <v>200</v>
      </c>
      <c r="K109" s="4" t="str" cm="1">
        <f t="array" ref="K10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109" s="4" t="s">
        <v>469</v>
      </c>
      <c r="M109" s="4" t="s">
        <v>517</v>
      </c>
      <c r="N109" s="4" t="s">
        <v>1713</v>
      </c>
      <c r="O109" s="4" t="s">
        <v>394</v>
      </c>
      <c r="P109" s="6">
        <v>46125</v>
      </c>
      <c r="Q109" s="6">
        <v>46125</v>
      </c>
      <c r="R109" s="5">
        <v>1</v>
      </c>
      <c r="S109" s="5"/>
      <c r="T109" s="13"/>
      <c r="U109" s="13"/>
      <c r="V109" s="5">
        <v>0</v>
      </c>
      <c r="W109" s="22" t="str">
        <f>_xlfn.LET(
_xlpm.H,Table1[[#This Row],[Thời hạn mới nhất (Date)]],
_xlpm.S,Table1[[#This Row],[Snapshot]],
IF(
    ISNUMBER(_xlpm.H),
    INT(_xlpm.H)-INT(_xlpm.S),
    "Không giao thời hạn"
))</f>
        <v>Không giao thời hạn</v>
      </c>
      <c r="X109" s="4" t="s">
        <v>518</v>
      </c>
      <c r="Y109" s="5"/>
      <c r="Z109" s="5" t="s">
        <v>35</v>
      </c>
      <c r="AA109" s="5"/>
      <c r="AB109" s="4" t="s">
        <v>519</v>
      </c>
      <c r="AC109" s="6"/>
      <c r="AD109" s="6"/>
      <c r="AE109" s="4">
        <v>0</v>
      </c>
      <c r="AF109" s="26" t="str">
        <f>_xlfn.LET(
_xlpm.H,Table1[[#This Row],[Thời hạn mới nhất (Date)]],
_xlpm.D,Table1[[#This Row],[Dự kiến mới nhất (Date)]],
IF(
NOT(ISNUMBER(_xlpm.H)),"Không giao thời hạn",
IF(
NOT(ISNUMBER(_xlpm.D)),"Chưa có dự kiến",
_xlpm.D-_xlpm.H
)))</f>
        <v>Không giao thời hạn</v>
      </c>
    </row>
    <row r="110" spans="1:32" ht="160.30000000000001" x14ac:dyDescent="0.4">
      <c r="A110" s="44">
        <v>46275</v>
      </c>
      <c r="B110" s="4" t="s">
        <v>516</v>
      </c>
      <c r="C110" s="5" t="s">
        <v>469</v>
      </c>
      <c r="D110" s="5">
        <v>26</v>
      </c>
      <c r="E110" s="5" t="str">
        <f>_xlfn.TEXTJOIN("+",TRUE,Table1[[#This Row],[Snapshot]:[ID]])</f>
        <v>46275+DIR-341DAFAC98B6</v>
      </c>
      <c r="F110" s="5"/>
      <c r="G110" s="5" t="s">
        <v>1299</v>
      </c>
      <c r="H110" s="20" t="s">
        <v>1299</v>
      </c>
      <c r="I110" s="5" t="s">
        <v>45</v>
      </c>
      <c r="J110" s="4" t="s">
        <v>200</v>
      </c>
      <c r="K110" s="4" t="str" cm="1">
        <f t="array" ref="K11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110" s="4" t="s">
        <v>469</v>
      </c>
      <c r="M110" s="4" t="s">
        <v>517</v>
      </c>
      <c r="N110" s="4" t="s">
        <v>1713</v>
      </c>
      <c r="O110" s="4" t="s">
        <v>394</v>
      </c>
      <c r="P110" s="6">
        <v>46125</v>
      </c>
      <c r="Q110" s="6">
        <v>46125</v>
      </c>
      <c r="R110" s="5">
        <v>1</v>
      </c>
      <c r="S110" s="5"/>
      <c r="T110" s="13"/>
      <c r="U110" s="13"/>
      <c r="V110" s="5">
        <v>0</v>
      </c>
      <c r="W110" s="22" t="str">
        <f>_xlfn.LET(
_xlpm.H,Table1[[#This Row],[Thời hạn mới nhất (Date)]],
_xlpm.S,Table1[[#This Row],[Snapshot]],
IF(
    ISNUMBER(_xlpm.H),
    INT(_xlpm.H)-INT(_xlpm.S),
    "Không giao thời hạn"
))</f>
        <v>Không giao thời hạn</v>
      </c>
      <c r="X110" s="4" t="s">
        <v>518</v>
      </c>
      <c r="Y110" s="5"/>
      <c r="Z110" s="5" t="s">
        <v>35</v>
      </c>
      <c r="AA110" s="5"/>
      <c r="AB110" s="4" t="s">
        <v>519</v>
      </c>
      <c r="AC110" s="6"/>
      <c r="AD110" s="6"/>
      <c r="AE110" s="4">
        <v>0</v>
      </c>
      <c r="AF110" s="26" t="str">
        <f>_xlfn.LET(
_xlpm.H,Table1[[#This Row],[Thời hạn mới nhất (Date)]],
_xlpm.D,Table1[[#This Row],[Dự kiến mới nhất (Date)]],
IF(
NOT(ISNUMBER(_xlpm.H)),"Không giao thời hạn",
IF(
NOT(ISNUMBER(_xlpm.D)),"Chưa có dự kiến",
_xlpm.D-_xlpm.H
)))</f>
        <v>Không giao thời hạn</v>
      </c>
    </row>
    <row r="111" spans="1:32" ht="131.15" x14ac:dyDescent="0.4">
      <c r="A111" s="44">
        <v>46282</v>
      </c>
      <c r="B111" s="4" t="s">
        <v>696</v>
      </c>
      <c r="C111" s="5" t="s">
        <v>688</v>
      </c>
      <c r="D111" s="5">
        <v>20</v>
      </c>
      <c r="E111" s="5" t="str">
        <f>_xlfn.TEXTJOIN("+",TRUE,Table1[[#This Row],[Snapshot]:[ID]])</f>
        <v>46282+DIR-353DE5B9ED93</v>
      </c>
      <c r="F111" s="5"/>
      <c r="G111" s="20" t="s">
        <v>1248</v>
      </c>
      <c r="H111" s="20" t="s">
        <v>1249</v>
      </c>
      <c r="I111" s="5" t="s">
        <v>57</v>
      </c>
      <c r="J111" s="4" t="s">
        <v>689</v>
      </c>
      <c r="K111" s="4" t="str" cm="1">
        <f t="array" ref="K11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111" s="4" t="s">
        <v>688</v>
      </c>
      <c r="M111" s="4" t="s">
        <v>618</v>
      </c>
      <c r="N111" s="4" t="s">
        <v>1696</v>
      </c>
      <c r="O111" s="4" t="s">
        <v>619</v>
      </c>
      <c r="P111" s="6">
        <v>46132</v>
      </c>
      <c r="Q111" s="6">
        <v>46132</v>
      </c>
      <c r="R111" s="5">
        <v>1</v>
      </c>
      <c r="S111" s="5" t="s">
        <v>620</v>
      </c>
      <c r="T111" s="13">
        <v>46142</v>
      </c>
      <c r="U111" s="13">
        <v>46142</v>
      </c>
      <c r="V111" s="5">
        <v>0</v>
      </c>
      <c r="W111" s="22">
        <f>_xlfn.LET(
_xlpm.H,Table1[[#This Row],[Thời hạn mới nhất (Date)]],
_xlpm.S,Table1[[#This Row],[Snapshot]],
IF(
    ISNUMBER(_xlpm.H),
    INT(_xlpm.H)-INT(_xlpm.S),
    "Không giao thời hạn"
))</f>
        <v>-140</v>
      </c>
      <c r="X111" s="4" t="s">
        <v>964</v>
      </c>
      <c r="Y111" s="5"/>
      <c r="Z111" s="5"/>
      <c r="AA111" s="5" t="s">
        <v>35</v>
      </c>
      <c r="AB111" s="4" t="s">
        <v>182</v>
      </c>
      <c r="AC111" s="6">
        <v>46295</v>
      </c>
      <c r="AD111" s="6">
        <v>46295</v>
      </c>
      <c r="AE111" s="4">
        <v>0</v>
      </c>
      <c r="AF111" s="26">
        <f>_xlfn.LET(
_xlpm.H,Table1[[#This Row],[Thời hạn mới nhất (Date)]],
_xlpm.D,Table1[[#This Row],[Dự kiến mới nhất (Date)]],
IF(
NOT(ISNUMBER(_xlpm.H)),"Không giao thời hạn",
IF(
NOT(ISNUMBER(_xlpm.D)),"Chưa có dự kiến",
_xlpm.D-_xlpm.H
)))</f>
        <v>153</v>
      </c>
    </row>
    <row r="112" spans="1:32" ht="131.15" x14ac:dyDescent="0.4">
      <c r="A112" s="44">
        <v>46275</v>
      </c>
      <c r="B112" s="4" t="s">
        <v>696</v>
      </c>
      <c r="C112" s="5" t="s">
        <v>688</v>
      </c>
      <c r="D112" s="5">
        <v>20</v>
      </c>
      <c r="E112" s="5" t="str">
        <f>_xlfn.TEXTJOIN("+",TRUE,Table1[[#This Row],[Snapshot]:[ID]])</f>
        <v>46275+DIR-353DE5B9ED93</v>
      </c>
      <c r="F112" s="5"/>
      <c r="G112" s="20" t="s">
        <v>1250</v>
      </c>
      <c r="H112" s="20" t="s">
        <v>1251</v>
      </c>
      <c r="I112" s="5" t="s">
        <v>57</v>
      </c>
      <c r="J112" s="4" t="s">
        <v>689</v>
      </c>
      <c r="K112" s="4" t="str" cm="1">
        <f t="array" ref="K11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112" s="4" t="s">
        <v>688</v>
      </c>
      <c r="M112" s="4" t="s">
        <v>618</v>
      </c>
      <c r="N112" s="4" t="s">
        <v>1696</v>
      </c>
      <c r="O112" s="4" t="s">
        <v>619</v>
      </c>
      <c r="P112" s="6">
        <v>46132</v>
      </c>
      <c r="Q112" s="6">
        <v>46132</v>
      </c>
      <c r="R112" s="5">
        <v>1</v>
      </c>
      <c r="S112" s="5" t="s">
        <v>620</v>
      </c>
      <c r="T112" s="13">
        <v>46142</v>
      </c>
      <c r="U112" s="13">
        <v>46142</v>
      </c>
      <c r="V112" s="5">
        <v>0</v>
      </c>
      <c r="W112" s="22">
        <f>_xlfn.LET(
_xlpm.H,Table1[[#This Row],[Thời hạn mới nhất (Date)]],
_xlpm.S,Table1[[#This Row],[Snapshot]],
IF(
    ISNUMBER(_xlpm.H),
    INT(_xlpm.H)-INT(_xlpm.S),
    "Không giao thời hạn"
))</f>
        <v>-133</v>
      </c>
      <c r="X112" s="4" t="s">
        <v>697</v>
      </c>
      <c r="Y112" s="5"/>
      <c r="Z112" s="5"/>
      <c r="AA112" s="5" t="s">
        <v>35</v>
      </c>
      <c r="AB112" s="4" t="s">
        <v>182</v>
      </c>
      <c r="AC112" s="6">
        <v>46295</v>
      </c>
      <c r="AD112" s="6">
        <v>46295</v>
      </c>
      <c r="AE112" s="4">
        <v>0</v>
      </c>
      <c r="AF112" s="26">
        <f>_xlfn.LET(
_xlpm.H,Table1[[#This Row],[Thời hạn mới nhất (Date)]],
_xlpm.D,Table1[[#This Row],[Dự kiến mới nhất (Date)]],
IF(
NOT(ISNUMBER(_xlpm.H)),"Không giao thời hạn",
IF(
NOT(ISNUMBER(_xlpm.D)),"Chưa có dự kiến",
_xlpm.D-_xlpm.H
)))</f>
        <v>153</v>
      </c>
    </row>
    <row r="113" spans="1:32" ht="145.75" x14ac:dyDescent="0.4">
      <c r="A113" s="44">
        <v>46282</v>
      </c>
      <c r="B113" s="4" t="s">
        <v>379</v>
      </c>
      <c r="C113" s="5" t="s">
        <v>352</v>
      </c>
      <c r="D113" s="5">
        <v>19</v>
      </c>
      <c r="E113" s="5" t="str">
        <f>_xlfn.TEXTJOIN("+",TRUE,Table1[[#This Row],[Snapshot]:[ID]])</f>
        <v>46282+DIR-361BB749845E</v>
      </c>
      <c r="F113" s="5"/>
      <c r="G113" s="5" t="s">
        <v>1814</v>
      </c>
      <c r="H113" s="20" t="s">
        <v>1815</v>
      </c>
      <c r="I113" s="5" t="s">
        <v>80</v>
      </c>
      <c r="J113" s="4" t="s">
        <v>30</v>
      </c>
      <c r="K113" s="4" t="str" cm="1">
        <f t="array" ref="K11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113" s="4" t="s">
        <v>352</v>
      </c>
      <c r="M113" s="4" t="s">
        <v>289</v>
      </c>
      <c r="N113" s="4" t="s">
        <v>1702</v>
      </c>
      <c r="O113" s="4" t="s">
        <v>181</v>
      </c>
      <c r="P113" s="6">
        <v>46270</v>
      </c>
      <c r="Q113" s="6">
        <v>46270</v>
      </c>
      <c r="R113" s="5">
        <v>1</v>
      </c>
      <c r="S113" s="5"/>
      <c r="T113" s="13"/>
      <c r="U113" s="13"/>
      <c r="V113" s="5">
        <v>0</v>
      </c>
      <c r="W113" s="22" t="str">
        <f>_xlfn.LET(
_xlpm.H,Table1[[#This Row],[Thời hạn mới nhất (Date)]],
_xlpm.S,Table1[[#This Row],[Snapshot]],
IF(
    ISNUMBER(_xlpm.H),
    INT(_xlpm.H)-INT(_xlpm.S),
    "Không giao thời hạn"
))</f>
        <v>Không giao thời hạn</v>
      </c>
      <c r="X113" s="4" t="s">
        <v>380</v>
      </c>
      <c r="Y113" s="5"/>
      <c r="Z113" s="5" t="s">
        <v>35</v>
      </c>
      <c r="AA113" s="5"/>
      <c r="AB113" s="4"/>
      <c r="AC113" s="6"/>
      <c r="AD113" s="6"/>
      <c r="AE113" s="4">
        <v>0</v>
      </c>
      <c r="AF113" s="26" t="str">
        <f>_xlfn.LET(
_xlpm.H,Table1[[#This Row],[Thời hạn mới nhất (Date)]],
_xlpm.D,Table1[[#This Row],[Dự kiến mới nhất (Date)]],
IF(
NOT(ISNUMBER(_xlpm.H)),"Không giao thời hạn",
IF(
NOT(ISNUMBER(_xlpm.D)),"Chưa có dự kiến",
_xlpm.D-_xlpm.H
)))</f>
        <v>Không giao thời hạn</v>
      </c>
    </row>
    <row r="114" spans="1:32" ht="160.30000000000001" x14ac:dyDescent="0.4">
      <c r="A114" s="44">
        <v>46275</v>
      </c>
      <c r="B114" s="4" t="s">
        <v>379</v>
      </c>
      <c r="C114" s="5" t="s">
        <v>352</v>
      </c>
      <c r="D114" s="5">
        <v>21</v>
      </c>
      <c r="E114" s="5" t="str">
        <f>_xlfn.TEXTJOIN("+",TRUE,Table1[[#This Row],[Snapshot]:[ID]])</f>
        <v>46275+DIR-361BB749845E</v>
      </c>
      <c r="F114" s="5"/>
      <c r="G114" s="5" t="s">
        <v>1816</v>
      </c>
      <c r="H114" s="20" t="s">
        <v>1817</v>
      </c>
      <c r="I114" s="5" t="s">
        <v>89</v>
      </c>
      <c r="J114" s="4" t="s">
        <v>30</v>
      </c>
      <c r="K114" s="4" t="str" cm="1">
        <f t="array" ref="K11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114" s="4" t="s">
        <v>352</v>
      </c>
      <c r="M114" s="4" t="s">
        <v>289</v>
      </c>
      <c r="N114" s="4" t="s">
        <v>1702</v>
      </c>
      <c r="O114" s="4" t="s">
        <v>181</v>
      </c>
      <c r="P114" s="6">
        <v>46270</v>
      </c>
      <c r="Q114" s="6">
        <v>46270</v>
      </c>
      <c r="R114" s="5">
        <v>1</v>
      </c>
      <c r="S114" s="5"/>
      <c r="T114" s="13"/>
      <c r="U114" s="13"/>
      <c r="V114" s="5">
        <v>0</v>
      </c>
      <c r="W114" s="22" t="str">
        <f>_xlfn.LET(
_xlpm.H,Table1[[#This Row],[Thời hạn mới nhất (Date)]],
_xlpm.S,Table1[[#This Row],[Snapshot]],
IF(
    ISNUMBER(_xlpm.H),
    INT(_xlpm.H)-INT(_xlpm.S),
    "Không giao thời hạn"
))</f>
        <v>Không giao thời hạn</v>
      </c>
      <c r="X114" s="4" t="s">
        <v>380</v>
      </c>
      <c r="Y114" s="5"/>
      <c r="Z114" s="5"/>
      <c r="AA114" s="5"/>
      <c r="AB114" s="4"/>
      <c r="AC114" s="6"/>
      <c r="AD114" s="6"/>
      <c r="AE114" s="4">
        <v>0</v>
      </c>
      <c r="AF114" s="26" t="str">
        <f>_xlfn.LET(
_xlpm.H,Table1[[#This Row],[Thời hạn mới nhất (Date)]],
_xlpm.D,Table1[[#This Row],[Dự kiến mới nhất (Date)]],
IF(
NOT(ISNUMBER(_xlpm.H)),"Không giao thời hạn",
IF(
NOT(ISNUMBER(_xlpm.D)),"Chưa có dự kiến",
_xlpm.D-_xlpm.H
)))</f>
        <v>Không giao thời hạn</v>
      </c>
    </row>
    <row r="115" spans="1:32" ht="131.15" x14ac:dyDescent="0.4">
      <c r="A115" s="44">
        <v>46282</v>
      </c>
      <c r="B115" s="4" t="s">
        <v>589</v>
      </c>
      <c r="C115" s="5" t="s">
        <v>570</v>
      </c>
      <c r="D115" s="5">
        <v>19</v>
      </c>
      <c r="E115" s="5" t="str">
        <f>_xlfn.TEXTJOIN("+",TRUE,Table1[[#This Row],[Snapshot]:[ID]])</f>
        <v>46282+DIR-376F7B75A88A</v>
      </c>
      <c r="F115" s="5"/>
      <c r="G115" s="5" t="s">
        <v>1366</v>
      </c>
      <c r="H115" s="20" t="s">
        <v>1367</v>
      </c>
      <c r="I115" s="5" t="s">
        <v>80</v>
      </c>
      <c r="J115" s="4" t="s">
        <v>30</v>
      </c>
      <c r="K115" s="4" t="str" cm="1">
        <f t="array" ref="K11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115" s="4" t="s">
        <v>570</v>
      </c>
      <c r="M115" s="4" t="s">
        <v>499</v>
      </c>
      <c r="N115" s="4" t="s">
        <v>1697</v>
      </c>
      <c r="O115" s="4" t="s">
        <v>191</v>
      </c>
      <c r="P115" s="6">
        <v>46262</v>
      </c>
      <c r="Q115" s="6">
        <v>46262</v>
      </c>
      <c r="R115" s="5">
        <v>1</v>
      </c>
      <c r="S115" s="5"/>
      <c r="T115" s="13"/>
      <c r="U115" s="13"/>
      <c r="V115" s="5">
        <v>0</v>
      </c>
      <c r="W115" s="22" t="str">
        <f>_xlfn.LET(
_xlpm.H,Table1[[#This Row],[Thời hạn mới nhất (Date)]],
_xlpm.S,Table1[[#This Row],[Snapshot]],
IF(
    ISNUMBER(_xlpm.H),
    INT(_xlpm.H)-INT(_xlpm.S),
    "Không giao thời hạn"
))</f>
        <v>Không giao thời hạn</v>
      </c>
      <c r="X115" s="4" t="s">
        <v>590</v>
      </c>
      <c r="Y115" s="5"/>
      <c r="Z115" s="5" t="s">
        <v>35</v>
      </c>
      <c r="AA115" s="5"/>
      <c r="AB115" s="4"/>
      <c r="AC115" s="6"/>
      <c r="AD115" s="6"/>
      <c r="AE115" s="4">
        <v>0</v>
      </c>
      <c r="AF115" s="26" t="str">
        <f>_xlfn.LET(
_xlpm.H,Table1[[#This Row],[Thời hạn mới nhất (Date)]],
_xlpm.D,Table1[[#This Row],[Dự kiến mới nhất (Date)]],
IF(
NOT(ISNUMBER(_xlpm.H)),"Không giao thời hạn",
IF(
NOT(ISNUMBER(_xlpm.D)),"Chưa có dự kiến",
_xlpm.D-_xlpm.H
)))</f>
        <v>Không giao thời hạn</v>
      </c>
    </row>
    <row r="116" spans="1:32" ht="131.15" x14ac:dyDescent="0.4">
      <c r="A116" s="44">
        <v>46275</v>
      </c>
      <c r="B116" s="4" t="s">
        <v>589</v>
      </c>
      <c r="C116" s="5" t="s">
        <v>570</v>
      </c>
      <c r="D116" s="5">
        <v>19</v>
      </c>
      <c r="E116" s="5" t="str">
        <f>_xlfn.TEXTJOIN("+",TRUE,Table1[[#This Row],[Snapshot]:[ID]])</f>
        <v>46275+DIR-376F7B75A88A</v>
      </c>
      <c r="F116" s="5"/>
      <c r="G116" s="5" t="s">
        <v>1366</v>
      </c>
      <c r="H116" s="20" t="s">
        <v>1367</v>
      </c>
      <c r="I116" s="5" t="s">
        <v>80</v>
      </c>
      <c r="J116" s="4" t="s">
        <v>30</v>
      </c>
      <c r="K116" s="4" t="str" cm="1">
        <f t="array" ref="K11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116" s="4" t="s">
        <v>570</v>
      </c>
      <c r="M116" s="4" t="s">
        <v>499</v>
      </c>
      <c r="N116" s="4" t="s">
        <v>1697</v>
      </c>
      <c r="O116" s="4" t="s">
        <v>191</v>
      </c>
      <c r="P116" s="6">
        <v>46262</v>
      </c>
      <c r="Q116" s="6">
        <v>46262</v>
      </c>
      <c r="R116" s="5">
        <v>1</v>
      </c>
      <c r="S116" s="5"/>
      <c r="T116" s="13"/>
      <c r="U116" s="13"/>
      <c r="V116" s="5">
        <v>0</v>
      </c>
      <c r="W116" s="22" t="str">
        <f>_xlfn.LET(
_xlpm.H,Table1[[#This Row],[Thời hạn mới nhất (Date)]],
_xlpm.S,Table1[[#This Row],[Snapshot]],
IF(
    ISNUMBER(_xlpm.H),
    INT(_xlpm.H)-INT(_xlpm.S),
    "Không giao thời hạn"
))</f>
        <v>Không giao thời hạn</v>
      </c>
      <c r="X116" s="4" t="s">
        <v>590</v>
      </c>
      <c r="Y116" s="5"/>
      <c r="Z116" s="5" t="s">
        <v>35</v>
      </c>
      <c r="AA116" s="5"/>
      <c r="AB116" s="4"/>
      <c r="AC116" s="6"/>
      <c r="AD116" s="6"/>
      <c r="AE116" s="4">
        <v>0</v>
      </c>
      <c r="AF116" s="26" t="str">
        <f>_xlfn.LET(
_xlpm.H,Table1[[#This Row],[Thời hạn mới nhất (Date)]],
_xlpm.D,Table1[[#This Row],[Dự kiến mới nhất (Date)]],
IF(
NOT(ISNUMBER(_xlpm.H)),"Không giao thời hạn",
IF(
NOT(ISNUMBER(_xlpm.D)),"Chưa có dự kiến",
_xlpm.D-_xlpm.H
)))</f>
        <v>Không giao thời hạn</v>
      </c>
    </row>
    <row r="117" spans="1:32" ht="160.30000000000001" x14ac:dyDescent="0.4">
      <c r="A117" s="44">
        <v>46282</v>
      </c>
      <c r="B117" s="4" t="s">
        <v>709</v>
      </c>
      <c r="C117" s="5" t="s">
        <v>688</v>
      </c>
      <c r="D117" s="5">
        <v>24</v>
      </c>
      <c r="E117" s="5" t="str">
        <f>_xlfn.TEXTJOIN("+",TRUE,Table1[[#This Row],[Snapshot]:[ID]])</f>
        <v>46282+DIR-3A2ED264E1F6</v>
      </c>
      <c r="F117" s="5"/>
      <c r="G117" s="5" t="s">
        <v>1818</v>
      </c>
      <c r="H117" s="20" t="s">
        <v>1819</v>
      </c>
      <c r="I117" s="5" t="s">
        <v>80</v>
      </c>
      <c r="J117" s="4" t="s">
        <v>689</v>
      </c>
      <c r="K117" s="4" t="str" cm="1">
        <f t="array" ref="K11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27. Booth Đa năng và Kênh Bán hàng Lưu động</v>
      </c>
      <c r="L117" s="4" t="s">
        <v>688</v>
      </c>
      <c r="M117" s="4" t="s">
        <v>710</v>
      </c>
      <c r="N117" s="4" t="s">
        <v>1696</v>
      </c>
      <c r="O117" s="4" t="s">
        <v>154</v>
      </c>
      <c r="P117" s="6">
        <v>46200</v>
      </c>
      <c r="Q117" s="6">
        <v>46200</v>
      </c>
      <c r="R117" s="5">
        <v>1</v>
      </c>
      <c r="S117" s="5" t="s">
        <v>711</v>
      </c>
      <c r="T117" s="13">
        <v>46213</v>
      </c>
      <c r="U117" s="13">
        <v>46213</v>
      </c>
      <c r="V117" s="5">
        <v>0</v>
      </c>
      <c r="W117" s="22">
        <f>_xlfn.LET(
_xlpm.H,Table1[[#This Row],[Thời hạn mới nhất (Date)]],
_xlpm.S,Table1[[#This Row],[Snapshot]],
IF(
    ISNUMBER(_xlpm.H),
    INT(_xlpm.H)-INT(_xlpm.S),
    "Không giao thời hạn"
))</f>
        <v>-69</v>
      </c>
      <c r="X117" s="4" t="s">
        <v>965</v>
      </c>
      <c r="Y117" s="5"/>
      <c r="Z117" s="5"/>
      <c r="AA117" s="5" t="s">
        <v>35</v>
      </c>
      <c r="AB117" s="4" t="s">
        <v>713</v>
      </c>
      <c r="AC117" s="6">
        <v>46295</v>
      </c>
      <c r="AD117" s="6">
        <v>46295</v>
      </c>
      <c r="AE117" s="4">
        <v>0</v>
      </c>
      <c r="AF117" s="26">
        <f>_xlfn.LET(
_xlpm.H,Table1[[#This Row],[Thời hạn mới nhất (Date)]],
_xlpm.D,Table1[[#This Row],[Dự kiến mới nhất (Date)]],
IF(
NOT(ISNUMBER(_xlpm.H)),"Không giao thời hạn",
IF(
NOT(ISNUMBER(_xlpm.D)),"Chưa có dự kiến",
_xlpm.D-_xlpm.H
)))</f>
        <v>82</v>
      </c>
    </row>
    <row r="118" spans="1:32" ht="160.30000000000001" x14ac:dyDescent="0.4">
      <c r="A118" s="44">
        <v>46275</v>
      </c>
      <c r="B118" s="4" t="s">
        <v>709</v>
      </c>
      <c r="C118" s="5" t="s">
        <v>688</v>
      </c>
      <c r="D118" s="5">
        <v>24</v>
      </c>
      <c r="E118" s="5" t="str">
        <f>_xlfn.TEXTJOIN("+",TRUE,Table1[[#This Row],[Snapshot]:[ID]])</f>
        <v>46275+DIR-3A2ED264E1F6</v>
      </c>
      <c r="F118" s="5"/>
      <c r="G118" s="5" t="s">
        <v>1820</v>
      </c>
      <c r="H118" s="20" t="s">
        <v>1821</v>
      </c>
      <c r="I118" s="5" t="s">
        <v>80</v>
      </c>
      <c r="J118" s="4" t="s">
        <v>689</v>
      </c>
      <c r="K118" s="4" t="str" cm="1">
        <f t="array" ref="K11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27. Booth Đa năng và Kênh Bán hàng Lưu động</v>
      </c>
      <c r="L118" s="4" t="s">
        <v>688</v>
      </c>
      <c r="M118" s="4" t="s">
        <v>710</v>
      </c>
      <c r="N118" s="4" t="s">
        <v>1696</v>
      </c>
      <c r="O118" s="4" t="s">
        <v>154</v>
      </c>
      <c r="P118" s="6">
        <v>46200</v>
      </c>
      <c r="Q118" s="6">
        <v>46200</v>
      </c>
      <c r="R118" s="5">
        <v>1</v>
      </c>
      <c r="S118" s="5" t="s">
        <v>711</v>
      </c>
      <c r="T118" s="13">
        <v>46213</v>
      </c>
      <c r="U118" s="13">
        <v>46213</v>
      </c>
      <c r="V118" s="5">
        <v>0</v>
      </c>
      <c r="W118" s="22">
        <f>_xlfn.LET(
_xlpm.H,Table1[[#This Row],[Thời hạn mới nhất (Date)]],
_xlpm.S,Table1[[#This Row],[Snapshot]],
IF(
    ISNUMBER(_xlpm.H),
    INT(_xlpm.H)-INT(_xlpm.S),
    "Không giao thời hạn"
))</f>
        <v>-62</v>
      </c>
      <c r="X118" s="4" t="s">
        <v>712</v>
      </c>
      <c r="Y118" s="5"/>
      <c r="Z118" s="5"/>
      <c r="AA118" s="5" t="s">
        <v>35</v>
      </c>
      <c r="AB118" s="4" t="s">
        <v>713</v>
      </c>
      <c r="AC118" s="6">
        <v>46295</v>
      </c>
      <c r="AD118" s="6">
        <v>46295</v>
      </c>
      <c r="AE118" s="4">
        <v>0</v>
      </c>
      <c r="AF118" s="26">
        <f>_xlfn.LET(
_xlpm.H,Table1[[#This Row],[Thời hạn mới nhất (Date)]],
_xlpm.D,Table1[[#This Row],[Dự kiến mới nhất (Date)]],
IF(
NOT(ISNUMBER(_xlpm.H)),"Không giao thời hạn",
IF(
NOT(ISNUMBER(_xlpm.D)),"Chưa có dự kiến",
_xlpm.D-_xlpm.H
)))</f>
        <v>82</v>
      </c>
    </row>
    <row r="119" spans="1:32" ht="131.15" x14ac:dyDescent="0.4">
      <c r="A119" s="44">
        <v>46282</v>
      </c>
      <c r="B119" s="4" t="s">
        <v>654</v>
      </c>
      <c r="C119" s="5" t="s">
        <v>607</v>
      </c>
      <c r="D119" s="5">
        <v>29</v>
      </c>
      <c r="E119" s="5" t="str">
        <f>_xlfn.TEXTJOIN("+",TRUE,Table1[[#This Row],[Snapshot]:[ID]])</f>
        <v>46282+DIR-3B387B6251ED</v>
      </c>
      <c r="F119" s="5"/>
      <c r="G119" s="5" t="s">
        <v>1392</v>
      </c>
      <c r="H119" s="20" t="s">
        <v>1393</v>
      </c>
      <c r="I119" s="5" t="s">
        <v>57</v>
      </c>
      <c r="J119" s="4" t="s">
        <v>200</v>
      </c>
      <c r="K119" s="4" t="str" cm="1">
        <f t="array" ref="K11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119" s="4" t="s">
        <v>607</v>
      </c>
      <c r="M119" s="4" t="s">
        <v>655</v>
      </c>
      <c r="N119" s="4" t="s">
        <v>1700</v>
      </c>
      <c r="O119" s="4" t="s">
        <v>656</v>
      </c>
      <c r="P119" s="6">
        <v>46167</v>
      </c>
      <c r="Q119" s="6">
        <v>46167</v>
      </c>
      <c r="R119" s="5">
        <v>1</v>
      </c>
      <c r="S119" s="5"/>
      <c r="T119" s="13"/>
      <c r="U119" s="13"/>
      <c r="V119" s="5">
        <v>0</v>
      </c>
      <c r="W119" s="22" t="str">
        <f>_xlfn.LET(
_xlpm.H,Table1[[#This Row],[Thời hạn mới nhất (Date)]],
_xlpm.S,Table1[[#This Row],[Snapshot]],
IF(
    ISNUMBER(_xlpm.H),
    INT(_xlpm.H)-INT(_xlpm.S),
    "Không giao thời hạn"
))</f>
        <v>Không giao thời hạn</v>
      </c>
      <c r="X119" s="4" t="s">
        <v>626</v>
      </c>
      <c r="Y119" s="5"/>
      <c r="Z119" s="5" t="s">
        <v>35</v>
      </c>
      <c r="AA119" s="5"/>
      <c r="AB119" s="4" t="s">
        <v>50</v>
      </c>
      <c r="AC119" s="6"/>
      <c r="AD119" s="6"/>
      <c r="AE119" s="4">
        <v>0</v>
      </c>
      <c r="AF119" s="26" t="str">
        <f>_xlfn.LET(
_xlpm.H,Table1[[#This Row],[Thời hạn mới nhất (Date)]],
_xlpm.D,Table1[[#This Row],[Dự kiến mới nhất (Date)]],
IF(
NOT(ISNUMBER(_xlpm.H)),"Không giao thời hạn",
IF(
NOT(ISNUMBER(_xlpm.D)),"Chưa có dự kiến",
_xlpm.D-_xlpm.H
)))</f>
        <v>Không giao thời hạn</v>
      </c>
    </row>
    <row r="120" spans="1:32" ht="131.15" x14ac:dyDescent="0.4">
      <c r="A120" s="44">
        <v>46275</v>
      </c>
      <c r="B120" s="4" t="s">
        <v>654</v>
      </c>
      <c r="C120" s="5" t="s">
        <v>607</v>
      </c>
      <c r="D120" s="5">
        <v>29</v>
      </c>
      <c r="E120" s="5" t="str">
        <f>_xlfn.TEXTJOIN("+",TRUE,Table1[[#This Row],[Snapshot]:[ID]])</f>
        <v>46275+DIR-3B387B6251ED</v>
      </c>
      <c r="F120" s="5"/>
      <c r="G120" s="5" t="s">
        <v>1392</v>
      </c>
      <c r="H120" s="20" t="s">
        <v>1393</v>
      </c>
      <c r="I120" s="5" t="s">
        <v>57</v>
      </c>
      <c r="J120" s="4" t="s">
        <v>200</v>
      </c>
      <c r="K120" s="4" t="str" cm="1">
        <f t="array" ref="K12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120" s="4" t="s">
        <v>607</v>
      </c>
      <c r="M120" s="4" t="s">
        <v>655</v>
      </c>
      <c r="N120" s="4" t="s">
        <v>1700</v>
      </c>
      <c r="O120" s="4" t="s">
        <v>656</v>
      </c>
      <c r="P120" s="6">
        <v>46167</v>
      </c>
      <c r="Q120" s="6">
        <v>46167</v>
      </c>
      <c r="R120" s="5">
        <v>1</v>
      </c>
      <c r="S120" s="5"/>
      <c r="T120" s="13"/>
      <c r="U120" s="13"/>
      <c r="V120" s="5">
        <v>0</v>
      </c>
      <c r="W120" s="22" t="str">
        <f>_xlfn.LET(
_xlpm.H,Table1[[#This Row],[Thời hạn mới nhất (Date)]],
_xlpm.S,Table1[[#This Row],[Snapshot]],
IF(
    ISNUMBER(_xlpm.H),
    INT(_xlpm.H)-INT(_xlpm.S),
    "Không giao thời hạn"
))</f>
        <v>Không giao thời hạn</v>
      </c>
      <c r="X120" s="4" t="s">
        <v>626</v>
      </c>
      <c r="Y120" s="5"/>
      <c r="Z120" s="5" t="s">
        <v>35</v>
      </c>
      <c r="AA120" s="5"/>
      <c r="AB120" s="4" t="s">
        <v>50</v>
      </c>
      <c r="AC120" s="6"/>
      <c r="AD120" s="6"/>
      <c r="AE120" s="4">
        <v>0</v>
      </c>
      <c r="AF120" s="26" t="str">
        <f>_xlfn.LET(
_xlpm.H,Table1[[#This Row],[Thời hạn mới nhất (Date)]],
_xlpm.D,Table1[[#This Row],[Dự kiến mới nhất (Date)]],
IF(
NOT(ISNUMBER(_xlpm.H)),"Không giao thời hạn",
IF(
NOT(ISNUMBER(_xlpm.D)),"Chưa có dự kiến",
_xlpm.D-_xlpm.H
)))</f>
        <v>Không giao thời hạn</v>
      </c>
    </row>
    <row r="121" spans="1:32" ht="145.75" x14ac:dyDescent="0.4">
      <c r="A121" s="44">
        <v>46282</v>
      </c>
      <c r="B121" s="4" t="s">
        <v>542</v>
      </c>
      <c r="C121" s="5" t="s">
        <v>532</v>
      </c>
      <c r="D121" s="5">
        <v>15</v>
      </c>
      <c r="E121" s="5" t="str">
        <f>_xlfn.TEXTJOIN("+",TRUE,Table1[[#This Row],[Snapshot]:[ID]])</f>
        <v>46282+DIR-3C4A949B88AE</v>
      </c>
      <c r="F121" s="5"/>
      <c r="G121" s="5" t="s">
        <v>1822</v>
      </c>
      <c r="H121" s="20" t="s">
        <v>1823</v>
      </c>
      <c r="I121" s="5" t="s">
        <v>57</v>
      </c>
      <c r="J121" s="4" t="s">
        <v>30</v>
      </c>
      <c r="K121" s="4" t="str" cm="1">
        <f t="array" ref="K12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21" s="4" t="s">
        <v>532</v>
      </c>
      <c r="M121" s="4" t="s">
        <v>543</v>
      </c>
      <c r="N121" s="4" t="s">
        <v>1717</v>
      </c>
      <c r="O121" s="4" t="s">
        <v>389</v>
      </c>
      <c r="P121" s="6">
        <v>46116</v>
      </c>
      <c r="Q121" s="6">
        <v>46116</v>
      </c>
      <c r="R121" s="5">
        <v>1</v>
      </c>
      <c r="S121" s="5"/>
      <c r="T121" s="13"/>
      <c r="U121" s="13"/>
      <c r="V121" s="5">
        <v>0</v>
      </c>
      <c r="W121" s="22" t="str">
        <f>_xlfn.LET(
_xlpm.H,Table1[[#This Row],[Thời hạn mới nhất (Date)]],
_xlpm.S,Table1[[#This Row],[Snapshot]],
IF(
    ISNUMBER(_xlpm.H),
    INT(_xlpm.H)-INT(_xlpm.S),
    "Không giao thời hạn"
))</f>
        <v>Không giao thời hạn</v>
      </c>
      <c r="X121" s="4" t="s">
        <v>544</v>
      </c>
      <c r="Y121" s="5"/>
      <c r="Z121" s="5" t="s">
        <v>35</v>
      </c>
      <c r="AA121" s="5"/>
      <c r="AB121" s="4" t="s">
        <v>519</v>
      </c>
      <c r="AC121" s="6"/>
      <c r="AD121" s="6"/>
      <c r="AE121" s="4">
        <v>0</v>
      </c>
      <c r="AF121" s="26" t="str">
        <f>_xlfn.LET(
_xlpm.H,Table1[[#This Row],[Thời hạn mới nhất (Date)]],
_xlpm.D,Table1[[#This Row],[Dự kiến mới nhất (Date)]],
IF(
NOT(ISNUMBER(_xlpm.H)),"Không giao thời hạn",
IF(
NOT(ISNUMBER(_xlpm.D)),"Chưa có dự kiến",
_xlpm.D-_xlpm.H
)))</f>
        <v>Không giao thời hạn</v>
      </c>
    </row>
    <row r="122" spans="1:32" ht="204" x14ac:dyDescent="0.4">
      <c r="A122" s="44">
        <v>46275</v>
      </c>
      <c r="B122" s="4" t="s">
        <v>542</v>
      </c>
      <c r="C122" s="5" t="s">
        <v>532</v>
      </c>
      <c r="D122" s="5">
        <v>15</v>
      </c>
      <c r="E122" s="5" t="str">
        <f>_xlfn.TEXTJOIN("+",TRUE,Table1[[#This Row],[Snapshot]:[ID]])</f>
        <v>46275+DIR-3C4A949B88AE</v>
      </c>
      <c r="F122" s="5"/>
      <c r="G122" s="5" t="s">
        <v>1824</v>
      </c>
      <c r="H122" s="20" t="s">
        <v>1825</v>
      </c>
      <c r="I122" s="5" t="s">
        <v>57</v>
      </c>
      <c r="J122" s="4" t="s">
        <v>30</v>
      </c>
      <c r="K122" s="4" t="str" cm="1">
        <f t="array" ref="K12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22" s="4" t="s">
        <v>532</v>
      </c>
      <c r="M122" s="4" t="s">
        <v>543</v>
      </c>
      <c r="N122" s="4" t="s">
        <v>1717</v>
      </c>
      <c r="O122" s="4" t="s">
        <v>389</v>
      </c>
      <c r="P122" s="6">
        <v>46116</v>
      </c>
      <c r="Q122" s="6">
        <v>46116</v>
      </c>
      <c r="R122" s="5">
        <v>1</v>
      </c>
      <c r="S122" s="5"/>
      <c r="T122" s="13"/>
      <c r="U122" s="13"/>
      <c r="V122" s="5">
        <v>0</v>
      </c>
      <c r="W122" s="22" t="str">
        <f>_xlfn.LET(
_xlpm.H,Table1[[#This Row],[Thời hạn mới nhất (Date)]],
_xlpm.S,Table1[[#This Row],[Snapshot]],
IF(
    ISNUMBER(_xlpm.H),
    INT(_xlpm.H)-INT(_xlpm.S),
    "Không giao thời hạn"
))</f>
        <v>Không giao thời hạn</v>
      </c>
      <c r="X122" s="4" t="s">
        <v>544</v>
      </c>
      <c r="Y122" s="5"/>
      <c r="Z122" s="5" t="s">
        <v>35</v>
      </c>
      <c r="AA122" s="5"/>
      <c r="AB122" s="4" t="s">
        <v>519</v>
      </c>
      <c r="AC122" s="6"/>
      <c r="AD122" s="6"/>
      <c r="AE122" s="4">
        <v>0</v>
      </c>
      <c r="AF122" s="26" t="str">
        <f>_xlfn.LET(
_xlpm.H,Table1[[#This Row],[Thời hạn mới nhất (Date)]],
_xlpm.D,Table1[[#This Row],[Dự kiến mới nhất (Date)]],
IF(
NOT(ISNUMBER(_xlpm.H)),"Không giao thời hạn",
IF(
NOT(ISNUMBER(_xlpm.D)),"Chưa có dự kiến",
_xlpm.D-_xlpm.H
)))</f>
        <v>Không giao thời hạn</v>
      </c>
    </row>
    <row r="123" spans="1:32" ht="131.15" x14ac:dyDescent="0.4">
      <c r="A123" s="44">
        <v>46282</v>
      </c>
      <c r="B123" s="4" t="s">
        <v>586</v>
      </c>
      <c r="C123" s="5" t="s">
        <v>570</v>
      </c>
      <c r="D123" s="5">
        <v>18</v>
      </c>
      <c r="E123" s="5" t="str">
        <f>_xlfn.TEXTJOIN("+",TRUE,Table1[[#This Row],[Snapshot]:[ID]])</f>
        <v>46282+DIR-3C6F53B7169E</v>
      </c>
      <c r="F123" s="5"/>
      <c r="G123" s="5" t="s">
        <v>1484</v>
      </c>
      <c r="H123" s="20" t="s">
        <v>1485</v>
      </c>
      <c r="I123" s="5" t="s">
        <v>75</v>
      </c>
      <c r="J123" s="4" t="s">
        <v>30</v>
      </c>
      <c r="K123" s="4" t="str" cm="1">
        <f t="array" ref="K12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123" s="4" t="s">
        <v>570</v>
      </c>
      <c r="M123" s="4" t="s">
        <v>587</v>
      </c>
      <c r="N123" s="4" t="s">
        <v>1697</v>
      </c>
      <c r="O123" s="4" t="s">
        <v>191</v>
      </c>
      <c r="P123" s="6">
        <v>46262</v>
      </c>
      <c r="Q123" s="6">
        <v>46262</v>
      </c>
      <c r="R123" s="5">
        <v>1</v>
      </c>
      <c r="S123" s="5" t="s">
        <v>503</v>
      </c>
      <c r="T123" s="13">
        <v>46275</v>
      </c>
      <c r="U123" s="13">
        <v>46275</v>
      </c>
      <c r="V123" s="5">
        <v>0</v>
      </c>
      <c r="W123" s="22">
        <f>_xlfn.LET(
_xlpm.H,Table1[[#This Row],[Thời hạn mới nhất (Date)]],
_xlpm.S,Table1[[#This Row],[Snapshot]],
IF(
    ISNUMBER(_xlpm.H),
    INT(_xlpm.H)-INT(_xlpm.S),
    "Không giao thời hạn"
))</f>
        <v>-7</v>
      </c>
      <c r="X123" s="4" t="s">
        <v>956</v>
      </c>
      <c r="Y123" s="5"/>
      <c r="Z123" s="5" t="s">
        <v>35</v>
      </c>
      <c r="AA123" s="5"/>
      <c r="AB123" s="4"/>
      <c r="AC123" s="6"/>
      <c r="AD123" s="6"/>
      <c r="AE123" s="4">
        <v>0</v>
      </c>
      <c r="AF123" s="26" t="str">
        <f>_xlfn.LET(
_xlpm.H,Table1[[#This Row],[Thời hạn mới nhất (Date)]],
_xlpm.D,Table1[[#This Row],[Dự kiến mới nhất (Date)]],
IF(
NOT(ISNUMBER(_xlpm.H)),"Không giao thời hạn",
IF(
NOT(ISNUMBER(_xlpm.D)),"Chưa có dự kiến",
_xlpm.D-_xlpm.H
)))</f>
        <v>Chưa có dự kiến</v>
      </c>
    </row>
    <row r="124" spans="1:32" ht="145.75" x14ac:dyDescent="0.4">
      <c r="A124" s="44">
        <v>46275</v>
      </c>
      <c r="B124" s="4" t="s">
        <v>586</v>
      </c>
      <c r="C124" s="5" t="s">
        <v>570</v>
      </c>
      <c r="D124" s="5">
        <v>18</v>
      </c>
      <c r="E124" s="5" t="str">
        <f>_xlfn.TEXTJOIN("+",TRUE,Table1[[#This Row],[Snapshot]:[ID]])</f>
        <v>46275+DIR-3C6F53B7169E</v>
      </c>
      <c r="F124" s="5"/>
      <c r="G124" s="5" t="s">
        <v>1324</v>
      </c>
      <c r="H124" s="20" t="s">
        <v>1325</v>
      </c>
      <c r="I124" s="5" t="s">
        <v>75</v>
      </c>
      <c r="J124" s="4" t="s">
        <v>30</v>
      </c>
      <c r="K124" s="4" t="str" cm="1">
        <f t="array" ref="K12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124" s="4" t="s">
        <v>570</v>
      </c>
      <c r="M124" s="4" t="s">
        <v>587</v>
      </c>
      <c r="N124" s="4" t="s">
        <v>1697</v>
      </c>
      <c r="O124" s="4" t="s">
        <v>191</v>
      </c>
      <c r="P124" s="6">
        <v>46262</v>
      </c>
      <c r="Q124" s="6">
        <v>46262</v>
      </c>
      <c r="R124" s="5">
        <v>1</v>
      </c>
      <c r="S124" s="5" t="s">
        <v>503</v>
      </c>
      <c r="T124" s="13">
        <v>46275</v>
      </c>
      <c r="U124" s="13">
        <v>46275</v>
      </c>
      <c r="V124" s="5">
        <v>0</v>
      </c>
      <c r="W124" s="22">
        <f>_xlfn.LET(
_xlpm.H,Table1[[#This Row],[Thời hạn mới nhất (Date)]],
_xlpm.S,Table1[[#This Row],[Snapshot]],
IF(
    ISNUMBER(_xlpm.H),
    INT(_xlpm.H)-INT(_xlpm.S),
    "Không giao thời hạn"
))</f>
        <v>0</v>
      </c>
      <c r="X124" s="4" t="s">
        <v>588</v>
      </c>
      <c r="Y124" s="5"/>
      <c r="Z124" s="5" t="s">
        <v>35</v>
      </c>
      <c r="AA124" s="5"/>
      <c r="AB124" s="4"/>
      <c r="AC124" s="6"/>
      <c r="AD124" s="6"/>
      <c r="AE124" s="4">
        <v>0</v>
      </c>
      <c r="AF124" s="26" t="str">
        <f>_xlfn.LET(
_xlpm.H,Table1[[#This Row],[Thời hạn mới nhất (Date)]],
_xlpm.D,Table1[[#This Row],[Dự kiến mới nhất (Date)]],
IF(
NOT(ISNUMBER(_xlpm.H)),"Không giao thời hạn",
IF(
NOT(ISNUMBER(_xlpm.D)),"Chưa có dự kiến",
_xlpm.D-_xlpm.H
)))</f>
        <v>Chưa có dự kiến</v>
      </c>
    </row>
    <row r="125" spans="1:32" ht="276.89999999999998" x14ac:dyDescent="0.4">
      <c r="A125" s="44">
        <v>46282</v>
      </c>
      <c r="B125" s="4" t="s">
        <v>668</v>
      </c>
      <c r="C125" s="5" t="s">
        <v>607</v>
      </c>
      <c r="D125" s="5">
        <v>33</v>
      </c>
      <c r="E125" s="5" t="str">
        <f>_xlfn.TEXTJOIN("+",TRUE,Table1[[#This Row],[Snapshot]:[ID]])</f>
        <v>46282+DIR-3E2B0A49AE1A</v>
      </c>
      <c r="F125" s="5"/>
      <c r="G125" s="5" t="s">
        <v>1394</v>
      </c>
      <c r="H125" s="20" t="s">
        <v>1395</v>
      </c>
      <c r="I125" s="5" t="s">
        <v>80</v>
      </c>
      <c r="J125" s="4" t="s">
        <v>200</v>
      </c>
      <c r="K125" s="4" t="str" cm="1">
        <f t="array" ref="K12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125" s="4" t="s">
        <v>607</v>
      </c>
      <c r="M125" s="4" t="s">
        <v>669</v>
      </c>
      <c r="N125" s="4" t="s">
        <v>1700</v>
      </c>
      <c r="O125" s="4" t="s">
        <v>209</v>
      </c>
      <c r="P125" s="6">
        <v>46081</v>
      </c>
      <c r="Q125" s="6">
        <v>46081</v>
      </c>
      <c r="R125" s="5">
        <v>1</v>
      </c>
      <c r="S125" s="5"/>
      <c r="T125" s="13"/>
      <c r="U125" s="13"/>
      <c r="V125" s="5">
        <v>0</v>
      </c>
      <c r="W125" s="22" t="str">
        <f>_xlfn.LET(
_xlpm.H,Table1[[#This Row],[Thời hạn mới nhất (Date)]],
_xlpm.S,Table1[[#This Row],[Snapshot]],
IF(
    ISNUMBER(_xlpm.H),
    INT(_xlpm.H)-INT(_xlpm.S),
    "Không giao thời hạn"
))</f>
        <v>Không giao thời hạn</v>
      </c>
      <c r="X125" s="4" t="s">
        <v>670</v>
      </c>
      <c r="Y125" s="5"/>
      <c r="Z125" s="5" t="s">
        <v>35</v>
      </c>
      <c r="AA125" s="5"/>
      <c r="AB125" s="4" t="s">
        <v>50</v>
      </c>
      <c r="AC125" s="6"/>
      <c r="AD125" s="6"/>
      <c r="AE125" s="4">
        <v>0</v>
      </c>
      <c r="AF125" s="26" t="str">
        <f>_xlfn.LET(
_xlpm.H,Table1[[#This Row],[Thời hạn mới nhất (Date)]],
_xlpm.D,Table1[[#This Row],[Dự kiến mới nhất (Date)]],
IF(
NOT(ISNUMBER(_xlpm.H)),"Không giao thời hạn",
IF(
NOT(ISNUMBER(_xlpm.D)),"Chưa có dự kiến",
_xlpm.D-_xlpm.H
)))</f>
        <v>Không giao thời hạn</v>
      </c>
    </row>
    <row r="126" spans="1:32" ht="276.89999999999998" x14ac:dyDescent="0.4">
      <c r="A126" s="44">
        <v>46275</v>
      </c>
      <c r="B126" s="4" t="s">
        <v>668</v>
      </c>
      <c r="C126" s="5" t="s">
        <v>607</v>
      </c>
      <c r="D126" s="5">
        <v>33</v>
      </c>
      <c r="E126" s="5" t="str">
        <f>_xlfn.TEXTJOIN("+",TRUE,Table1[[#This Row],[Snapshot]:[ID]])</f>
        <v>46275+DIR-3E2B0A49AE1A</v>
      </c>
      <c r="F126" s="5"/>
      <c r="G126" s="5" t="s">
        <v>1394</v>
      </c>
      <c r="H126" s="20" t="s">
        <v>1395</v>
      </c>
      <c r="I126" s="5" t="s">
        <v>80</v>
      </c>
      <c r="J126" s="4" t="s">
        <v>200</v>
      </c>
      <c r="K126" s="4" t="str" cm="1">
        <f t="array" ref="K12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126" s="4" t="s">
        <v>607</v>
      </c>
      <c r="M126" s="4" t="s">
        <v>669</v>
      </c>
      <c r="N126" s="4" t="s">
        <v>1700</v>
      </c>
      <c r="O126" s="4" t="s">
        <v>209</v>
      </c>
      <c r="P126" s="6">
        <v>46081</v>
      </c>
      <c r="Q126" s="6">
        <v>46081</v>
      </c>
      <c r="R126" s="5">
        <v>1</v>
      </c>
      <c r="S126" s="5"/>
      <c r="T126" s="13"/>
      <c r="U126" s="13"/>
      <c r="V126" s="5">
        <v>0</v>
      </c>
      <c r="W126" s="22" t="str">
        <f>_xlfn.LET(
_xlpm.H,Table1[[#This Row],[Thời hạn mới nhất (Date)]],
_xlpm.S,Table1[[#This Row],[Snapshot]],
IF(
    ISNUMBER(_xlpm.H),
    INT(_xlpm.H)-INT(_xlpm.S),
    "Không giao thời hạn"
))</f>
        <v>Không giao thời hạn</v>
      </c>
      <c r="X126" s="4" t="s">
        <v>670</v>
      </c>
      <c r="Y126" s="5"/>
      <c r="Z126" s="5" t="s">
        <v>35</v>
      </c>
      <c r="AA126" s="5"/>
      <c r="AB126" s="4" t="s">
        <v>50</v>
      </c>
      <c r="AC126" s="6"/>
      <c r="AD126" s="6"/>
      <c r="AE126" s="4">
        <v>0</v>
      </c>
      <c r="AF126" s="26" t="str">
        <f>_xlfn.LET(
_xlpm.H,Table1[[#This Row],[Thời hạn mới nhất (Date)]],
_xlpm.D,Table1[[#This Row],[Dự kiến mới nhất (Date)]],
IF(
NOT(ISNUMBER(_xlpm.H)),"Không giao thời hạn",
IF(
NOT(ISNUMBER(_xlpm.D)),"Chưa có dự kiến",
_xlpm.D-_xlpm.H
)))</f>
        <v>Không giao thời hạn</v>
      </c>
    </row>
    <row r="127" spans="1:32" ht="160.30000000000001" x14ac:dyDescent="0.4">
      <c r="A127" s="44">
        <v>46282</v>
      </c>
      <c r="B127" s="4" t="s">
        <v>271</v>
      </c>
      <c r="C127" s="5" t="s">
        <v>266</v>
      </c>
      <c r="D127" s="5">
        <v>14</v>
      </c>
      <c r="E127" s="5" t="str">
        <f>_xlfn.TEXTJOIN("+",TRUE,Table1[[#This Row],[Snapshot]:[ID]])</f>
        <v>46282+DIR-4125259EE527</v>
      </c>
      <c r="F127" s="5"/>
      <c r="G127" s="5" t="s">
        <v>1826</v>
      </c>
      <c r="H127" s="20" t="s">
        <v>1827</v>
      </c>
      <c r="I127" s="5" t="s">
        <v>52</v>
      </c>
      <c r="J127" s="4" t="s">
        <v>30</v>
      </c>
      <c r="K127" s="4" t="str" cm="1">
        <f t="array" ref="K12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127" s="4" t="s">
        <v>266</v>
      </c>
      <c r="M127" s="4" t="s">
        <v>94</v>
      </c>
      <c r="N127" s="4" t="s">
        <v>1718</v>
      </c>
      <c r="O127" s="4" t="s">
        <v>71</v>
      </c>
      <c r="P127" s="6">
        <v>46235</v>
      </c>
      <c r="Q127" s="6">
        <v>46235</v>
      </c>
      <c r="R127" s="5">
        <v>1</v>
      </c>
      <c r="S127" s="5" t="s">
        <v>77</v>
      </c>
      <c r="T127" s="13">
        <v>46295</v>
      </c>
      <c r="U127" s="13">
        <v>46295</v>
      </c>
      <c r="V127" s="5">
        <v>0</v>
      </c>
      <c r="W127" s="22">
        <f>_xlfn.LET(
_xlpm.H,Table1[[#This Row],[Thời hạn mới nhất (Date)]],
_xlpm.S,Table1[[#This Row],[Snapshot]],
IF(
    ISNUMBER(_xlpm.H),
    INT(_xlpm.H)-INT(_xlpm.S),
    "Không giao thời hạn"
))</f>
        <v>13</v>
      </c>
      <c r="X127" s="4" t="s">
        <v>272</v>
      </c>
      <c r="Y127" s="5"/>
      <c r="Z127" s="5" t="s">
        <v>35</v>
      </c>
      <c r="AA127" s="5"/>
      <c r="AB127" s="4" t="s">
        <v>77</v>
      </c>
      <c r="AC127" s="6">
        <v>46295</v>
      </c>
      <c r="AD127" s="6">
        <v>46295</v>
      </c>
      <c r="AE127" s="4">
        <v>0</v>
      </c>
      <c r="AF127" s="26">
        <f>_xlfn.LET(
_xlpm.H,Table1[[#This Row],[Thời hạn mới nhất (Date)]],
_xlpm.D,Table1[[#This Row],[Dự kiến mới nhất (Date)]],
IF(
NOT(ISNUMBER(_xlpm.H)),"Không giao thời hạn",
IF(
NOT(ISNUMBER(_xlpm.D)),"Chưa có dự kiến",
_xlpm.D-_xlpm.H
)))</f>
        <v>0</v>
      </c>
    </row>
    <row r="128" spans="1:32" ht="174.9" x14ac:dyDescent="0.4">
      <c r="A128" s="44">
        <v>46275</v>
      </c>
      <c r="B128" s="4" t="s">
        <v>271</v>
      </c>
      <c r="C128" s="5" t="s">
        <v>266</v>
      </c>
      <c r="D128" s="5">
        <v>14</v>
      </c>
      <c r="E128" s="5" t="str">
        <f>_xlfn.TEXTJOIN("+",TRUE,Table1[[#This Row],[Snapshot]:[ID]])</f>
        <v>46275+DIR-4125259EE527</v>
      </c>
      <c r="F128" s="5"/>
      <c r="G128" s="5" t="s">
        <v>1828</v>
      </c>
      <c r="H128" s="20" t="s">
        <v>1829</v>
      </c>
      <c r="I128" s="5" t="s">
        <v>52</v>
      </c>
      <c r="J128" s="4" t="s">
        <v>30</v>
      </c>
      <c r="K128" s="4" t="str" cm="1">
        <f t="array" ref="K12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128" s="4" t="s">
        <v>266</v>
      </c>
      <c r="M128" s="4" t="s">
        <v>94</v>
      </c>
      <c r="N128" s="4" t="s">
        <v>1718</v>
      </c>
      <c r="O128" s="4" t="s">
        <v>71</v>
      </c>
      <c r="P128" s="6">
        <v>46235</v>
      </c>
      <c r="Q128" s="6">
        <v>46235</v>
      </c>
      <c r="R128" s="5">
        <v>1</v>
      </c>
      <c r="S128" s="5" t="s">
        <v>77</v>
      </c>
      <c r="T128" s="13">
        <v>46295</v>
      </c>
      <c r="U128" s="13">
        <v>46295</v>
      </c>
      <c r="V128" s="5">
        <v>0</v>
      </c>
      <c r="W128" s="22">
        <f>_xlfn.LET(
_xlpm.H,Table1[[#This Row],[Thời hạn mới nhất (Date)]],
_xlpm.S,Table1[[#This Row],[Snapshot]],
IF(
    ISNUMBER(_xlpm.H),
    INT(_xlpm.H)-INT(_xlpm.S),
    "Không giao thời hạn"
))</f>
        <v>20</v>
      </c>
      <c r="X128" s="4" t="s">
        <v>272</v>
      </c>
      <c r="Y128" s="5"/>
      <c r="Z128" s="5" t="s">
        <v>35</v>
      </c>
      <c r="AA128" s="5"/>
      <c r="AB128" s="4" t="s">
        <v>77</v>
      </c>
      <c r="AC128" s="6">
        <v>46295</v>
      </c>
      <c r="AD128" s="6">
        <v>46295</v>
      </c>
      <c r="AE128" s="4">
        <v>0</v>
      </c>
      <c r="AF128" s="26">
        <f>_xlfn.LET(
_xlpm.H,Table1[[#This Row],[Thời hạn mới nhất (Date)]],
_xlpm.D,Table1[[#This Row],[Dự kiến mới nhất (Date)]],
IF(
NOT(ISNUMBER(_xlpm.H)),"Không giao thời hạn",
IF(
NOT(ISNUMBER(_xlpm.D)),"Chưa có dự kiến",
_xlpm.D-_xlpm.H
)))</f>
        <v>0</v>
      </c>
    </row>
    <row r="129" spans="1:32" ht="145.75" x14ac:dyDescent="0.4">
      <c r="A129" s="44">
        <v>46282</v>
      </c>
      <c r="B129" s="4" t="s">
        <v>501</v>
      </c>
      <c r="C129" s="5" t="s">
        <v>469</v>
      </c>
      <c r="D129" s="5">
        <v>21</v>
      </c>
      <c r="E129" s="5" t="str">
        <f>_xlfn.TEXTJOIN("+",TRUE,Table1[[#This Row],[Snapshot]:[ID]])</f>
        <v>46282+DIR-425E31F5BD44</v>
      </c>
      <c r="F129" s="5"/>
      <c r="G129" s="5" t="s">
        <v>1486</v>
      </c>
      <c r="H129" s="20" t="s">
        <v>1487</v>
      </c>
      <c r="I129" s="5" t="s">
        <v>85</v>
      </c>
      <c r="J129" s="4" t="s">
        <v>30</v>
      </c>
      <c r="K129" s="4" t="str" cm="1">
        <f t="array" ref="K12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08. Xử lý Nợ, VAMC và Thu hồi Tài sản</v>
      </c>
      <c r="L129" s="4" t="s">
        <v>469</v>
      </c>
      <c r="M129" s="4" t="s">
        <v>502</v>
      </c>
      <c r="N129" s="4" t="s">
        <v>1713</v>
      </c>
      <c r="O129" s="4" t="s">
        <v>181</v>
      </c>
      <c r="P129" s="6">
        <v>46270</v>
      </c>
      <c r="Q129" s="6">
        <v>46270</v>
      </c>
      <c r="R129" s="5">
        <v>1</v>
      </c>
      <c r="S129" s="5" t="s">
        <v>503</v>
      </c>
      <c r="T129" s="13">
        <v>46275</v>
      </c>
      <c r="U129" s="13">
        <v>46275</v>
      </c>
      <c r="V129" s="5">
        <v>0</v>
      </c>
      <c r="W129" s="22">
        <f>_xlfn.LET(
_xlpm.H,Table1[[#This Row],[Thời hạn mới nhất (Date)]],
_xlpm.S,Table1[[#This Row],[Snapshot]],
IF(
    ISNUMBER(_xlpm.H),
    INT(_xlpm.H)-INT(_xlpm.S),
    "Không giao thời hạn"
))</f>
        <v>-7</v>
      </c>
      <c r="X129" s="4" t="s">
        <v>945</v>
      </c>
      <c r="Y129" s="5"/>
      <c r="Z129" s="5" t="s">
        <v>194</v>
      </c>
      <c r="AA129" s="5"/>
      <c r="AB129" s="4" t="s">
        <v>508</v>
      </c>
      <c r="AC129" s="6"/>
      <c r="AD129" s="6"/>
      <c r="AE129" s="4">
        <v>0</v>
      </c>
      <c r="AF129" s="26" t="str">
        <f>_xlfn.LET(
_xlpm.H,Table1[[#This Row],[Thời hạn mới nhất (Date)]],
_xlpm.D,Table1[[#This Row],[Dự kiến mới nhất (Date)]],
IF(
NOT(ISNUMBER(_xlpm.H)),"Không giao thời hạn",
IF(
NOT(ISNUMBER(_xlpm.D)),"Chưa có dự kiến",
_xlpm.D-_xlpm.H
)))</f>
        <v>Chưa có dự kiến</v>
      </c>
    </row>
    <row r="130" spans="1:32" ht="145.75" x14ac:dyDescent="0.4">
      <c r="A130" s="44">
        <v>46275</v>
      </c>
      <c r="B130" s="4" t="s">
        <v>501</v>
      </c>
      <c r="C130" s="5" t="s">
        <v>469</v>
      </c>
      <c r="D130" s="5">
        <v>21</v>
      </c>
      <c r="E130" s="5" t="str">
        <f>_xlfn.TEXTJOIN("+",TRUE,Table1[[#This Row],[Snapshot]:[ID]])</f>
        <v>46275+DIR-425E31F5BD44</v>
      </c>
      <c r="F130" s="5"/>
      <c r="G130" s="5" t="s">
        <v>1327</v>
      </c>
      <c r="H130" s="20" t="s">
        <v>1326</v>
      </c>
      <c r="I130" s="5" t="s">
        <v>85</v>
      </c>
      <c r="J130" s="4" t="s">
        <v>30</v>
      </c>
      <c r="K130" s="4" t="str" cm="1">
        <f t="array" ref="K13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08. Xử lý Nợ, VAMC và Thu hồi Tài sản</v>
      </c>
      <c r="L130" s="4" t="s">
        <v>469</v>
      </c>
      <c r="M130" s="4" t="s">
        <v>502</v>
      </c>
      <c r="N130" s="4" t="s">
        <v>1713</v>
      </c>
      <c r="O130" s="4" t="s">
        <v>181</v>
      </c>
      <c r="P130" s="6">
        <v>46270</v>
      </c>
      <c r="Q130" s="6">
        <v>46270</v>
      </c>
      <c r="R130" s="5">
        <v>1</v>
      </c>
      <c r="S130" s="5" t="s">
        <v>503</v>
      </c>
      <c r="T130" s="13">
        <v>46275</v>
      </c>
      <c r="U130" s="13">
        <v>46275</v>
      </c>
      <c r="V130" s="5">
        <v>0</v>
      </c>
      <c r="W130" s="22">
        <f>_xlfn.LET(
_xlpm.H,Table1[[#This Row],[Thời hạn mới nhất (Date)]],
_xlpm.S,Table1[[#This Row],[Snapshot]],
IF(
    ISNUMBER(_xlpm.H),
    INT(_xlpm.H)-INT(_xlpm.S),
    "Không giao thời hạn"
))</f>
        <v>0</v>
      </c>
      <c r="X130" s="4" t="s">
        <v>504</v>
      </c>
      <c r="Y130" s="5"/>
      <c r="Z130" s="5" t="s">
        <v>194</v>
      </c>
      <c r="AA130" s="5"/>
      <c r="AB130" s="4"/>
      <c r="AC130" s="6"/>
      <c r="AD130" s="6"/>
      <c r="AE130" s="4">
        <v>0</v>
      </c>
      <c r="AF130" s="26" t="str">
        <f>_xlfn.LET(
_xlpm.H,Table1[[#This Row],[Thời hạn mới nhất (Date)]],
_xlpm.D,Table1[[#This Row],[Dự kiến mới nhất (Date)]],
IF(
NOT(ISNUMBER(_xlpm.H)),"Không giao thời hạn",
IF(
NOT(ISNUMBER(_xlpm.D)),"Chưa có dự kiến",
_xlpm.D-_xlpm.H
)))</f>
        <v>Chưa có dự kiến</v>
      </c>
    </row>
    <row r="131" spans="1:32" ht="131.15" x14ac:dyDescent="0.4">
      <c r="A131" s="44">
        <v>46282</v>
      </c>
      <c r="B131" s="4" t="s">
        <v>311</v>
      </c>
      <c r="C131" s="5" t="s">
        <v>297</v>
      </c>
      <c r="D131" s="5">
        <v>16</v>
      </c>
      <c r="E131" s="5" t="str">
        <f>_xlfn.TEXTJOIN("+",TRUE,Table1[[#This Row],[Snapshot]:[ID]])</f>
        <v>46282+DIR-43DD2EA133A6</v>
      </c>
      <c r="F131" s="5"/>
      <c r="G131" s="5" t="s">
        <v>1830</v>
      </c>
      <c r="H131" s="20" t="s">
        <v>1831</v>
      </c>
      <c r="I131" s="5" t="s">
        <v>63</v>
      </c>
      <c r="J131" s="4" t="s">
        <v>30</v>
      </c>
      <c r="K131" s="4" t="str" cm="1">
        <f t="array" ref="K13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131" s="4" t="s">
        <v>297</v>
      </c>
      <c r="M131" s="4" t="s">
        <v>312</v>
      </c>
      <c r="N131" s="4" t="s">
        <v>1701</v>
      </c>
      <c r="O131" s="4" t="s">
        <v>313</v>
      </c>
      <c r="P131" s="6">
        <v>46193</v>
      </c>
      <c r="Q131" s="6">
        <v>46193</v>
      </c>
      <c r="R131" s="5">
        <v>1</v>
      </c>
      <c r="S131" s="5" t="s">
        <v>144</v>
      </c>
      <c r="T131" s="13">
        <v>46203</v>
      </c>
      <c r="U131" s="13">
        <v>46203</v>
      </c>
      <c r="V131" s="5">
        <v>0</v>
      </c>
      <c r="W131" s="22">
        <f>_xlfn.LET(
_xlpm.H,Table1[[#This Row],[Thời hạn mới nhất (Date)]],
_xlpm.S,Table1[[#This Row],[Snapshot]],
IF(
    ISNUMBER(_xlpm.H),
    INT(_xlpm.H)-INT(_xlpm.S),
    "Không giao thời hạn"
))</f>
        <v>-79</v>
      </c>
      <c r="X131" s="4" t="s">
        <v>314</v>
      </c>
      <c r="Y131" s="5"/>
      <c r="Z131" s="5" t="s">
        <v>35</v>
      </c>
      <c r="AA131" s="5"/>
      <c r="AB131" s="4" t="s">
        <v>50</v>
      </c>
      <c r="AC131" s="6"/>
      <c r="AD131" s="6"/>
      <c r="AE131" s="4">
        <v>0</v>
      </c>
      <c r="AF131" s="26" t="str">
        <f>_xlfn.LET(
_xlpm.H,Table1[[#This Row],[Thời hạn mới nhất (Date)]],
_xlpm.D,Table1[[#This Row],[Dự kiến mới nhất (Date)]],
IF(
NOT(ISNUMBER(_xlpm.H)),"Không giao thời hạn",
IF(
NOT(ISNUMBER(_xlpm.D)),"Chưa có dự kiến",
_xlpm.D-_xlpm.H
)))</f>
        <v>Chưa có dự kiến</v>
      </c>
    </row>
    <row r="132" spans="1:32" ht="174.9" x14ac:dyDescent="0.4">
      <c r="A132" s="44">
        <v>46275</v>
      </c>
      <c r="B132" s="4" t="s">
        <v>311</v>
      </c>
      <c r="C132" s="5" t="s">
        <v>297</v>
      </c>
      <c r="D132" s="5">
        <v>16</v>
      </c>
      <c r="E132" s="5" t="str">
        <f>_xlfn.TEXTJOIN("+",TRUE,Table1[[#This Row],[Snapshot]:[ID]])</f>
        <v>46275+DIR-43DD2EA133A6</v>
      </c>
      <c r="F132" s="5"/>
      <c r="G132" s="5" t="s">
        <v>1832</v>
      </c>
      <c r="H132" s="20" t="s">
        <v>1833</v>
      </c>
      <c r="I132" s="5" t="s">
        <v>63</v>
      </c>
      <c r="J132" s="4" t="s">
        <v>30</v>
      </c>
      <c r="K132" s="4" t="str" cm="1">
        <f t="array" ref="K13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132" s="4" t="s">
        <v>297</v>
      </c>
      <c r="M132" s="4" t="s">
        <v>312</v>
      </c>
      <c r="N132" s="4" t="s">
        <v>1701</v>
      </c>
      <c r="O132" s="4" t="s">
        <v>313</v>
      </c>
      <c r="P132" s="6">
        <v>46193</v>
      </c>
      <c r="Q132" s="6">
        <v>46193</v>
      </c>
      <c r="R132" s="5">
        <v>1</v>
      </c>
      <c r="S132" s="5" t="s">
        <v>144</v>
      </c>
      <c r="T132" s="13">
        <v>46203</v>
      </c>
      <c r="U132" s="13">
        <v>46203</v>
      </c>
      <c r="V132" s="5">
        <v>0</v>
      </c>
      <c r="W132" s="22">
        <f>_xlfn.LET(
_xlpm.H,Table1[[#This Row],[Thời hạn mới nhất (Date)]],
_xlpm.S,Table1[[#This Row],[Snapshot]],
IF(
    ISNUMBER(_xlpm.H),
    INT(_xlpm.H)-INT(_xlpm.S),
    "Không giao thời hạn"
))</f>
        <v>-72</v>
      </c>
      <c r="X132" s="4" t="s">
        <v>314</v>
      </c>
      <c r="Y132" s="5"/>
      <c r="Z132" s="5" t="s">
        <v>35</v>
      </c>
      <c r="AA132" s="5"/>
      <c r="AB132" s="4" t="s">
        <v>50</v>
      </c>
      <c r="AC132" s="6"/>
      <c r="AD132" s="6"/>
      <c r="AE132" s="4">
        <v>0</v>
      </c>
      <c r="AF132" s="26" t="str">
        <f>_xlfn.LET(
_xlpm.H,Table1[[#This Row],[Thời hạn mới nhất (Date)]],
_xlpm.D,Table1[[#This Row],[Dự kiến mới nhất (Date)]],
IF(
NOT(ISNUMBER(_xlpm.H)),"Không giao thời hạn",
IF(
NOT(ISNUMBER(_xlpm.D)),"Chưa có dự kiến",
_xlpm.D-_xlpm.H
)))</f>
        <v>Chưa có dự kiến</v>
      </c>
    </row>
    <row r="133" spans="1:32" ht="131.15" x14ac:dyDescent="0.4">
      <c r="A133" s="44">
        <v>46282</v>
      </c>
      <c r="B133" s="4" t="s">
        <v>647</v>
      </c>
      <c r="C133" s="5" t="s">
        <v>607</v>
      </c>
      <c r="D133" s="5">
        <v>25</v>
      </c>
      <c r="E133" s="5" t="str">
        <f>_xlfn.TEXTJOIN("+",TRUE,Table1[[#This Row],[Snapshot]:[ID]])</f>
        <v>46282+DIR-43FDF2B52C69</v>
      </c>
      <c r="F133" s="5"/>
      <c r="G133" s="5" t="s">
        <v>1834</v>
      </c>
      <c r="H133" s="20" t="s">
        <v>1835</v>
      </c>
      <c r="I133" s="5" t="s">
        <v>106</v>
      </c>
      <c r="J133" s="4" t="s">
        <v>30</v>
      </c>
      <c r="K133" s="4" t="str" cm="1">
        <f t="array" ref="K13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133" s="4" t="s">
        <v>607</v>
      </c>
      <c r="M133" s="4" t="s">
        <v>289</v>
      </c>
      <c r="N133" s="4" t="s">
        <v>1700</v>
      </c>
      <c r="O133" s="4" t="s">
        <v>181</v>
      </c>
      <c r="P133" s="6">
        <v>46270</v>
      </c>
      <c r="Q133" s="6">
        <v>46270</v>
      </c>
      <c r="R133" s="5">
        <v>1</v>
      </c>
      <c r="S133" s="5"/>
      <c r="T133" s="13"/>
      <c r="U133" s="13"/>
      <c r="V133" s="5">
        <v>0</v>
      </c>
      <c r="W133" s="22" t="str">
        <f>_xlfn.LET(
_xlpm.H,Table1[[#This Row],[Thời hạn mới nhất (Date)]],
_xlpm.S,Table1[[#This Row],[Snapshot]],
IF(
    ISNUMBER(_xlpm.H),
    INT(_xlpm.H)-INT(_xlpm.S),
    "Không giao thời hạn"
))</f>
        <v>Không giao thời hạn</v>
      </c>
      <c r="X133" s="4" t="s">
        <v>648</v>
      </c>
      <c r="Y133" s="5"/>
      <c r="Z133" s="5" t="s">
        <v>35</v>
      </c>
      <c r="AA133" s="5"/>
      <c r="AB133" s="4"/>
      <c r="AC133" s="6"/>
      <c r="AD133" s="6"/>
      <c r="AE133" s="4">
        <v>0</v>
      </c>
      <c r="AF133" s="26" t="str">
        <f>_xlfn.LET(
_xlpm.H,Table1[[#This Row],[Thời hạn mới nhất (Date)]],
_xlpm.D,Table1[[#This Row],[Dự kiến mới nhất (Date)]],
IF(
NOT(ISNUMBER(_xlpm.H)),"Không giao thời hạn",
IF(
NOT(ISNUMBER(_xlpm.D)),"Chưa có dự kiến",
_xlpm.D-_xlpm.H
)))</f>
        <v>Không giao thời hạn</v>
      </c>
    </row>
    <row r="134" spans="1:32" ht="174.9" x14ac:dyDescent="0.4">
      <c r="A134" s="44">
        <v>46275</v>
      </c>
      <c r="B134" s="4" t="s">
        <v>647</v>
      </c>
      <c r="C134" s="5" t="s">
        <v>607</v>
      </c>
      <c r="D134" s="5">
        <v>25</v>
      </c>
      <c r="E134" s="5" t="str">
        <f>_xlfn.TEXTJOIN("+",TRUE,Table1[[#This Row],[Snapshot]:[ID]])</f>
        <v>46275+DIR-43FDF2B52C69</v>
      </c>
      <c r="F134" s="5"/>
      <c r="G134" s="5" t="s">
        <v>1836</v>
      </c>
      <c r="H134" s="20" t="s">
        <v>1837</v>
      </c>
      <c r="I134" s="5" t="s">
        <v>106</v>
      </c>
      <c r="J134" s="4" t="s">
        <v>30</v>
      </c>
      <c r="K134" s="4" t="str" cm="1">
        <f t="array" ref="K13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134" s="4" t="s">
        <v>607</v>
      </c>
      <c r="M134" s="4" t="s">
        <v>289</v>
      </c>
      <c r="N134" s="4" t="s">
        <v>1700</v>
      </c>
      <c r="O134" s="4" t="s">
        <v>181</v>
      </c>
      <c r="P134" s="6">
        <v>46270</v>
      </c>
      <c r="Q134" s="6">
        <v>46270</v>
      </c>
      <c r="R134" s="5">
        <v>1</v>
      </c>
      <c r="S134" s="5"/>
      <c r="T134" s="13"/>
      <c r="U134" s="13"/>
      <c r="V134" s="5">
        <v>0</v>
      </c>
      <c r="W134" s="22" t="str">
        <f>_xlfn.LET(
_xlpm.H,Table1[[#This Row],[Thời hạn mới nhất (Date)]],
_xlpm.S,Table1[[#This Row],[Snapshot]],
IF(
    ISNUMBER(_xlpm.H),
    INT(_xlpm.H)-INT(_xlpm.S),
    "Không giao thời hạn"
))</f>
        <v>Không giao thời hạn</v>
      </c>
      <c r="X134" s="4" t="s">
        <v>648</v>
      </c>
      <c r="Y134" s="5"/>
      <c r="Z134" s="5" t="s">
        <v>35</v>
      </c>
      <c r="AA134" s="5"/>
      <c r="AB134" s="4"/>
      <c r="AC134" s="6"/>
      <c r="AD134" s="6"/>
      <c r="AE134" s="4">
        <v>0</v>
      </c>
      <c r="AF134" s="26" t="str">
        <f>_xlfn.LET(
_xlpm.H,Table1[[#This Row],[Thời hạn mới nhất (Date)]],
_xlpm.D,Table1[[#This Row],[Dự kiến mới nhất (Date)]],
IF(
NOT(ISNUMBER(_xlpm.H)),"Không giao thời hạn",
IF(
NOT(ISNUMBER(_xlpm.D)),"Chưa có dự kiến",
_xlpm.D-_xlpm.H
)))</f>
        <v>Không giao thời hạn</v>
      </c>
    </row>
    <row r="135" spans="1:32" ht="145.75" x14ac:dyDescent="0.4">
      <c r="A135" s="44">
        <v>46282</v>
      </c>
      <c r="B135" s="4" t="s">
        <v>822</v>
      </c>
      <c r="C135" s="5" t="s">
        <v>688</v>
      </c>
      <c r="D135" s="5">
        <v>54</v>
      </c>
      <c r="E135" s="5" t="str">
        <f>_xlfn.TEXTJOIN("+",TRUE,Table1[[#This Row],[Snapshot]:[ID]])</f>
        <v>46282+DIR-44ED16793C04</v>
      </c>
      <c r="F135" s="5"/>
      <c r="G135" s="5" t="s">
        <v>1838</v>
      </c>
      <c r="H135" s="20" t="s">
        <v>1839</v>
      </c>
      <c r="I135" s="5" t="s">
        <v>815</v>
      </c>
      <c r="J135" s="4" t="s">
        <v>689</v>
      </c>
      <c r="K135" s="4" t="str" cm="1">
        <f t="array" ref="K13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29. Hệ sinh thái Y tế số và Chăm sóc Sức khỏe</v>
      </c>
      <c r="L135" s="4" t="s">
        <v>688</v>
      </c>
      <c r="M135" s="4" t="s">
        <v>824</v>
      </c>
      <c r="N135" s="4" t="s">
        <v>1696</v>
      </c>
      <c r="O135" s="4" t="s">
        <v>181</v>
      </c>
      <c r="P135" s="6">
        <v>46270</v>
      </c>
      <c r="Q135" s="6">
        <v>46270</v>
      </c>
      <c r="R135" s="5">
        <v>1</v>
      </c>
      <c r="S135" s="5" t="s">
        <v>825</v>
      </c>
      <c r="T135" s="13">
        <v>46305</v>
      </c>
      <c r="U135" s="13">
        <v>46305</v>
      </c>
      <c r="V135" s="5">
        <v>0</v>
      </c>
      <c r="W135" s="22">
        <f>_xlfn.LET(
_xlpm.H,Table1[[#This Row],[Thời hạn mới nhất (Date)]],
_xlpm.S,Table1[[#This Row],[Snapshot]],
IF(
    ISNUMBER(_xlpm.H),
    INT(_xlpm.H)-INT(_xlpm.S),
    "Không giao thời hạn"
))</f>
        <v>23</v>
      </c>
      <c r="X135" s="4" t="s">
        <v>817</v>
      </c>
      <c r="Y135" s="5"/>
      <c r="Z135" s="5" t="s">
        <v>35</v>
      </c>
      <c r="AA135" s="5"/>
      <c r="AB135" s="4" t="s">
        <v>981</v>
      </c>
      <c r="AC135" s="6">
        <v>46305</v>
      </c>
      <c r="AD135" s="6">
        <v>46305</v>
      </c>
      <c r="AE135" s="4">
        <v>0</v>
      </c>
      <c r="AF135" s="26">
        <f>_xlfn.LET(
_xlpm.H,Table1[[#This Row],[Thời hạn mới nhất (Date)]],
_xlpm.D,Table1[[#This Row],[Dự kiến mới nhất (Date)]],
IF(
NOT(ISNUMBER(_xlpm.H)),"Không giao thời hạn",
IF(
NOT(ISNUMBER(_xlpm.D)),"Chưa có dự kiến",
_xlpm.D-_xlpm.H
)))</f>
        <v>0</v>
      </c>
    </row>
    <row r="136" spans="1:32" ht="174.9" x14ac:dyDescent="0.4">
      <c r="A136" s="44">
        <v>46275</v>
      </c>
      <c r="B136" s="4" t="s">
        <v>822</v>
      </c>
      <c r="C136" s="5" t="s">
        <v>688</v>
      </c>
      <c r="D136" s="5">
        <v>57</v>
      </c>
      <c r="E136" s="5" t="str">
        <f>_xlfn.TEXTJOIN("+",TRUE,Table1[[#This Row],[Snapshot]:[ID]])</f>
        <v>46275+DIR-44ED16793C04</v>
      </c>
      <c r="F136" s="5"/>
      <c r="G136" s="5" t="s">
        <v>1840</v>
      </c>
      <c r="H136" s="20" t="s">
        <v>1841</v>
      </c>
      <c r="I136" s="5" t="s">
        <v>823</v>
      </c>
      <c r="J136" s="4" t="s">
        <v>689</v>
      </c>
      <c r="K136" s="4" t="str" cm="1">
        <f t="array" ref="K13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29. Hệ sinh thái Y tế số và Chăm sóc Sức khỏe</v>
      </c>
      <c r="L136" s="4" t="s">
        <v>688</v>
      </c>
      <c r="M136" s="4" t="s">
        <v>824</v>
      </c>
      <c r="N136" s="4" t="s">
        <v>1696</v>
      </c>
      <c r="O136" s="4" t="s">
        <v>181</v>
      </c>
      <c r="P136" s="6">
        <v>46270</v>
      </c>
      <c r="Q136" s="6">
        <v>46270</v>
      </c>
      <c r="R136" s="5">
        <v>1</v>
      </c>
      <c r="S136" s="5" t="s">
        <v>825</v>
      </c>
      <c r="T136" s="13">
        <v>46305</v>
      </c>
      <c r="U136" s="13">
        <v>46305</v>
      </c>
      <c r="V136" s="5">
        <v>0</v>
      </c>
      <c r="W136" s="22">
        <f>_xlfn.LET(
_xlpm.H,Table1[[#This Row],[Thời hạn mới nhất (Date)]],
_xlpm.S,Table1[[#This Row],[Snapshot]],
IF(
    ISNUMBER(_xlpm.H),
    INT(_xlpm.H)-INT(_xlpm.S),
    "Không giao thời hạn"
))</f>
        <v>30</v>
      </c>
      <c r="X136" s="4" t="s">
        <v>826</v>
      </c>
      <c r="Y136" s="5"/>
      <c r="Z136" s="5" t="s">
        <v>194</v>
      </c>
      <c r="AA136" s="5"/>
      <c r="AB136" s="4" t="s">
        <v>810</v>
      </c>
      <c r="AC136" s="6">
        <v>46305</v>
      </c>
      <c r="AD136" s="6">
        <v>46305</v>
      </c>
      <c r="AE136" s="4">
        <v>0</v>
      </c>
      <c r="AF136" s="26">
        <f>_xlfn.LET(
_xlpm.H,Table1[[#This Row],[Thời hạn mới nhất (Date)]],
_xlpm.D,Table1[[#This Row],[Dự kiến mới nhất (Date)]],
IF(
NOT(ISNUMBER(_xlpm.H)),"Không giao thời hạn",
IF(
NOT(ISNUMBER(_xlpm.D)),"Chưa có dự kiến",
_xlpm.D-_xlpm.H
)))</f>
        <v>0</v>
      </c>
    </row>
    <row r="137" spans="1:32" ht="145.75" x14ac:dyDescent="0.4">
      <c r="A137" s="44">
        <v>46282</v>
      </c>
      <c r="B137" s="4" t="s">
        <v>548</v>
      </c>
      <c r="C137" s="5" t="s">
        <v>532</v>
      </c>
      <c r="D137" s="5">
        <v>17</v>
      </c>
      <c r="E137" s="5" t="str">
        <f>_xlfn.TEXTJOIN("+",TRUE,Table1[[#This Row],[Snapshot]:[ID]])</f>
        <v>46282+DIR-4772EE11B2AE</v>
      </c>
      <c r="F137" s="5"/>
      <c r="G137" s="5" t="s">
        <v>1842</v>
      </c>
      <c r="H137" s="20" t="s">
        <v>1843</v>
      </c>
      <c r="I137" s="5" t="s">
        <v>69</v>
      </c>
      <c r="J137" s="4" t="s">
        <v>30</v>
      </c>
      <c r="K137" s="4" t="str" cm="1">
        <f t="array" ref="K13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10. FTP, ALM và Hiệu quả Sử dụng Vốn</v>
      </c>
      <c r="L137" s="4" t="s">
        <v>532</v>
      </c>
      <c r="M137" s="4" t="s">
        <v>549</v>
      </c>
      <c r="N137" s="4" t="s">
        <v>1717</v>
      </c>
      <c r="O137" s="4" t="s">
        <v>143</v>
      </c>
      <c r="P137" s="6">
        <v>46186</v>
      </c>
      <c r="Q137" s="6">
        <v>46186</v>
      </c>
      <c r="R137" s="5">
        <v>1</v>
      </c>
      <c r="S137" s="5" t="s">
        <v>550</v>
      </c>
      <c r="T137" s="13">
        <v>46192</v>
      </c>
      <c r="U137" s="13">
        <v>46192</v>
      </c>
      <c r="V137" s="5">
        <v>0</v>
      </c>
      <c r="W137" s="22">
        <f>_xlfn.LET(
_xlpm.H,Table1[[#This Row],[Thời hạn mới nhất (Date)]],
_xlpm.S,Table1[[#This Row],[Snapshot]],
IF(
    ISNUMBER(_xlpm.H),
    INT(_xlpm.H)-INT(_xlpm.S),
    "Không giao thời hạn"
))</f>
        <v>-90</v>
      </c>
      <c r="X137" s="4" t="s">
        <v>551</v>
      </c>
      <c r="Y137" s="5"/>
      <c r="Z137" s="5" t="s">
        <v>35</v>
      </c>
      <c r="AA137" s="5"/>
      <c r="AB137" s="4" t="s">
        <v>552</v>
      </c>
      <c r="AC137" s="6"/>
      <c r="AD137" s="6"/>
      <c r="AE137" s="4">
        <v>0</v>
      </c>
      <c r="AF137" s="26" t="str">
        <f>_xlfn.LET(
_xlpm.H,Table1[[#This Row],[Thời hạn mới nhất (Date)]],
_xlpm.D,Table1[[#This Row],[Dự kiến mới nhất (Date)]],
IF(
NOT(ISNUMBER(_xlpm.H)),"Không giao thời hạn",
IF(
NOT(ISNUMBER(_xlpm.D)),"Chưa có dự kiến",
_xlpm.D-_xlpm.H
)))</f>
        <v>Chưa có dự kiến</v>
      </c>
    </row>
    <row r="138" spans="1:32" ht="174.9" x14ac:dyDescent="0.4">
      <c r="A138" s="44">
        <v>46275</v>
      </c>
      <c r="B138" s="4" t="s">
        <v>548</v>
      </c>
      <c r="C138" s="5" t="s">
        <v>532</v>
      </c>
      <c r="D138" s="5">
        <v>17</v>
      </c>
      <c r="E138" s="5" t="str">
        <f>_xlfn.TEXTJOIN("+",TRUE,Table1[[#This Row],[Snapshot]:[ID]])</f>
        <v>46275+DIR-4772EE11B2AE</v>
      </c>
      <c r="F138" s="5"/>
      <c r="G138" s="5" t="s">
        <v>1844</v>
      </c>
      <c r="H138" s="20" t="s">
        <v>1845</v>
      </c>
      <c r="I138" s="5" t="s">
        <v>69</v>
      </c>
      <c r="J138" s="4" t="s">
        <v>30</v>
      </c>
      <c r="K138" s="4" t="str" cm="1">
        <f t="array" ref="K13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10. FTP, ALM và Hiệu quả Sử dụng Vốn</v>
      </c>
      <c r="L138" s="4" t="s">
        <v>532</v>
      </c>
      <c r="M138" s="4" t="s">
        <v>549</v>
      </c>
      <c r="N138" s="4" t="s">
        <v>1717</v>
      </c>
      <c r="O138" s="4" t="s">
        <v>143</v>
      </c>
      <c r="P138" s="6">
        <v>46186</v>
      </c>
      <c r="Q138" s="6">
        <v>46186</v>
      </c>
      <c r="R138" s="5">
        <v>1</v>
      </c>
      <c r="S138" s="5" t="s">
        <v>550</v>
      </c>
      <c r="T138" s="13">
        <v>46192</v>
      </c>
      <c r="U138" s="13">
        <v>46192</v>
      </c>
      <c r="V138" s="5">
        <v>0</v>
      </c>
      <c r="W138" s="22">
        <f>_xlfn.LET(
_xlpm.H,Table1[[#This Row],[Thời hạn mới nhất (Date)]],
_xlpm.S,Table1[[#This Row],[Snapshot]],
IF(
    ISNUMBER(_xlpm.H),
    INT(_xlpm.H)-INT(_xlpm.S),
    "Không giao thời hạn"
))</f>
        <v>-83</v>
      </c>
      <c r="X138" s="4" t="s">
        <v>551</v>
      </c>
      <c r="Y138" s="5"/>
      <c r="Z138" s="5" t="s">
        <v>35</v>
      </c>
      <c r="AA138" s="5"/>
      <c r="AB138" s="4" t="s">
        <v>552</v>
      </c>
      <c r="AC138" s="6"/>
      <c r="AD138" s="6"/>
      <c r="AE138" s="4">
        <v>0</v>
      </c>
      <c r="AF138" s="26" t="str">
        <f>_xlfn.LET(
_xlpm.H,Table1[[#This Row],[Thời hạn mới nhất (Date)]],
_xlpm.D,Table1[[#This Row],[Dự kiến mới nhất (Date)]],
IF(
NOT(ISNUMBER(_xlpm.H)),"Không giao thời hạn",
IF(
NOT(ISNUMBER(_xlpm.D)),"Chưa có dự kiến",
_xlpm.D-_xlpm.H
)))</f>
        <v>Chưa có dự kiến</v>
      </c>
    </row>
    <row r="139" spans="1:32" ht="174.9" x14ac:dyDescent="0.4">
      <c r="A139" s="44">
        <v>46282</v>
      </c>
      <c r="B139" s="4" t="s">
        <v>807</v>
      </c>
      <c r="C139" s="5" t="s">
        <v>688</v>
      </c>
      <c r="D139" s="5">
        <v>51</v>
      </c>
      <c r="E139" s="5" t="str">
        <f>_xlfn.TEXTJOIN("+",TRUE,Table1[[#This Row],[Snapshot]:[ID]])</f>
        <v>46282+DIR-48EEA9F5B545</v>
      </c>
      <c r="F139" s="5"/>
      <c r="G139" s="5" t="s">
        <v>1846</v>
      </c>
      <c r="H139" s="20" t="s">
        <v>1847</v>
      </c>
      <c r="I139" s="5" t="s">
        <v>801</v>
      </c>
      <c r="J139" s="4" t="s">
        <v>689</v>
      </c>
      <c r="K139" s="4" t="str" cm="1">
        <f t="array" ref="K13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139" s="4" t="s">
        <v>688</v>
      </c>
      <c r="M139" s="4" t="s">
        <v>190</v>
      </c>
      <c r="N139" s="4" t="s">
        <v>1696</v>
      </c>
      <c r="O139" s="4" t="s">
        <v>191</v>
      </c>
      <c r="P139" s="6">
        <v>46262</v>
      </c>
      <c r="Q139" s="6">
        <v>46262</v>
      </c>
      <c r="R139" s="5">
        <v>1</v>
      </c>
      <c r="S139" s="5" t="s">
        <v>192</v>
      </c>
      <c r="T139" s="13">
        <v>46295</v>
      </c>
      <c r="U139" s="13">
        <v>46295</v>
      </c>
      <c r="V139" s="5">
        <v>0</v>
      </c>
      <c r="W139" s="22">
        <f>_xlfn.LET(
_xlpm.H,Table1[[#This Row],[Thời hạn mới nhất (Date)]],
_xlpm.S,Table1[[#This Row],[Snapshot]],
IF(
    ISNUMBER(_xlpm.H),
    INT(_xlpm.H)-INT(_xlpm.S),
    "Không giao thời hạn"
))</f>
        <v>13</v>
      </c>
      <c r="X139" s="4"/>
      <c r="Y139" s="5"/>
      <c r="Z139" s="5" t="s">
        <v>35</v>
      </c>
      <c r="AA139" s="5"/>
      <c r="AB139" s="4" t="s">
        <v>725</v>
      </c>
      <c r="AC139" s="6">
        <v>46305</v>
      </c>
      <c r="AD139" s="6">
        <v>46295</v>
      </c>
      <c r="AE139" s="4">
        <v>1</v>
      </c>
      <c r="AF139" s="26">
        <f>_xlfn.LET(
_xlpm.H,Table1[[#This Row],[Thời hạn mới nhất (Date)]],
_xlpm.D,Table1[[#This Row],[Dự kiến mới nhất (Date)]],
IF(
NOT(ISNUMBER(_xlpm.H)),"Không giao thời hạn",
IF(
NOT(ISNUMBER(_xlpm.D)),"Chưa có dự kiến",
_xlpm.D-_xlpm.H
)))</f>
        <v>0</v>
      </c>
    </row>
    <row r="140" spans="1:32" ht="116.6" x14ac:dyDescent="0.4">
      <c r="A140" s="44">
        <v>46275</v>
      </c>
      <c r="B140" s="4" t="s">
        <v>807</v>
      </c>
      <c r="C140" s="5" t="s">
        <v>688</v>
      </c>
      <c r="D140" s="5">
        <v>53</v>
      </c>
      <c r="E140" s="5" t="str">
        <f>_xlfn.TEXTJOIN("+",TRUE,Table1[[#This Row],[Snapshot]:[ID]])</f>
        <v>46275+DIR-48EEA9F5B545</v>
      </c>
      <c r="F140" s="5"/>
      <c r="G140" s="5" t="s">
        <v>1848</v>
      </c>
      <c r="H140" s="20" t="s">
        <v>1849</v>
      </c>
      <c r="I140" s="5" t="s">
        <v>808</v>
      </c>
      <c r="J140" s="4" t="s">
        <v>689</v>
      </c>
      <c r="K140" s="4" t="str" cm="1">
        <f t="array" ref="K14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140" s="4" t="s">
        <v>688</v>
      </c>
      <c r="M140" s="4" t="s">
        <v>190</v>
      </c>
      <c r="N140" s="4" t="s">
        <v>1696</v>
      </c>
      <c r="O140" s="4" t="s">
        <v>191</v>
      </c>
      <c r="P140" s="6">
        <v>46262</v>
      </c>
      <c r="Q140" s="6">
        <v>46262</v>
      </c>
      <c r="R140" s="5">
        <v>1</v>
      </c>
      <c r="S140" s="5" t="s">
        <v>192</v>
      </c>
      <c r="T140" s="13">
        <v>46295</v>
      </c>
      <c r="U140" s="13">
        <v>46295</v>
      </c>
      <c r="V140" s="5">
        <v>0</v>
      </c>
      <c r="W140" s="22">
        <f>_xlfn.LET(
_xlpm.H,Table1[[#This Row],[Thời hạn mới nhất (Date)]],
_xlpm.S,Table1[[#This Row],[Snapshot]],
IF(
    ISNUMBER(_xlpm.H),
    INT(_xlpm.H)-INT(_xlpm.S),
    "Không giao thời hạn"
))</f>
        <v>20</v>
      </c>
      <c r="X140" s="4" t="s">
        <v>809</v>
      </c>
      <c r="Y140" s="5"/>
      <c r="Z140" s="5" t="s">
        <v>194</v>
      </c>
      <c r="AA140" s="5"/>
      <c r="AB140" s="4" t="s">
        <v>810</v>
      </c>
      <c r="AC140" s="6">
        <v>46305</v>
      </c>
      <c r="AD140" s="6">
        <v>46305</v>
      </c>
      <c r="AE140" s="4">
        <v>0</v>
      </c>
      <c r="AF140" s="26">
        <f>_xlfn.LET(
_xlpm.H,Table1[[#This Row],[Thời hạn mới nhất (Date)]],
_xlpm.D,Table1[[#This Row],[Dự kiến mới nhất (Date)]],
IF(
NOT(ISNUMBER(_xlpm.H)),"Không giao thời hạn",
IF(
NOT(ISNUMBER(_xlpm.D)),"Chưa có dự kiến",
_xlpm.D-_xlpm.H
)))</f>
        <v>10</v>
      </c>
    </row>
    <row r="141" spans="1:32" ht="116.6" x14ac:dyDescent="0.4">
      <c r="A141" s="44">
        <v>46275</v>
      </c>
      <c r="B141" s="4" t="s">
        <v>807</v>
      </c>
      <c r="C141" s="5" t="s">
        <v>688</v>
      </c>
      <c r="D141" s="5">
        <v>67</v>
      </c>
      <c r="E141" s="5" t="str">
        <f>_xlfn.TEXTJOIN("+",TRUE,Table1[[#This Row],[Snapshot]:[ID]])</f>
        <v>46275+DIR-48EEA9F5B545</v>
      </c>
      <c r="F141" s="5"/>
      <c r="G141" s="5" t="s">
        <v>1848</v>
      </c>
      <c r="H141" s="20" t="s">
        <v>1849</v>
      </c>
      <c r="I141" s="5" t="s">
        <v>856</v>
      </c>
      <c r="J141" s="4" t="s">
        <v>200</v>
      </c>
      <c r="K141" s="4" t="str" cm="1">
        <f t="array" ref="K14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141" s="4" t="s">
        <v>688</v>
      </c>
      <c r="M141" s="4" t="s">
        <v>190</v>
      </c>
      <c r="N141" s="4" t="s">
        <v>1696</v>
      </c>
      <c r="O141" s="4" t="s">
        <v>191</v>
      </c>
      <c r="P141" s="6">
        <v>46262</v>
      </c>
      <c r="Q141" s="6">
        <v>46262</v>
      </c>
      <c r="R141" s="5">
        <v>1</v>
      </c>
      <c r="S141" s="5" t="s">
        <v>192</v>
      </c>
      <c r="T141" s="13">
        <v>46295</v>
      </c>
      <c r="U141" s="13">
        <v>46295</v>
      </c>
      <c r="V141" s="5">
        <v>0</v>
      </c>
      <c r="W141" s="22">
        <f>_xlfn.LET(
_xlpm.H,Table1[[#This Row],[Thời hạn mới nhất (Date)]],
_xlpm.S,Table1[[#This Row],[Snapshot]],
IF(
    ISNUMBER(_xlpm.H),
    INT(_xlpm.H)-INT(_xlpm.S),
    "Không giao thời hạn"
))</f>
        <v>20</v>
      </c>
      <c r="X141" s="4" t="s">
        <v>857</v>
      </c>
      <c r="Y141" s="5"/>
      <c r="Z141" s="5"/>
      <c r="AA141" s="5"/>
      <c r="AB141" s="4"/>
      <c r="AC141" s="6">
        <v>46305</v>
      </c>
      <c r="AD141" s="6"/>
      <c r="AE141" s="4">
        <v>0</v>
      </c>
      <c r="AF141" s="26" t="str">
        <f>_xlfn.LET(
_xlpm.H,Table1[[#This Row],[Thời hạn mới nhất (Date)]],
_xlpm.D,Table1[[#This Row],[Dự kiến mới nhất (Date)]],
IF(
NOT(ISNUMBER(_xlpm.H)),"Không giao thời hạn",
IF(
NOT(ISNUMBER(_xlpm.D)),"Chưa có dự kiến",
_xlpm.D-_xlpm.H
)))</f>
        <v>Chưa có dự kiến</v>
      </c>
    </row>
    <row r="142" spans="1:32" ht="160.30000000000001" x14ac:dyDescent="0.4">
      <c r="A142" s="44">
        <v>46282</v>
      </c>
      <c r="B142" s="4" t="s">
        <v>505</v>
      </c>
      <c r="C142" s="5" t="s">
        <v>469</v>
      </c>
      <c r="D142" s="5">
        <v>22</v>
      </c>
      <c r="E142" s="5" t="str">
        <f>_xlfn.TEXTJOIN("+",TRUE,Table1[[#This Row],[Snapshot]:[ID]])</f>
        <v>46282+DIR-499B8E17C0AE</v>
      </c>
      <c r="F142" s="5"/>
      <c r="G142" s="5" t="s">
        <v>1515</v>
      </c>
      <c r="H142" s="20" t="s">
        <v>1516</v>
      </c>
      <c r="I142" s="5" t="s">
        <v>89</v>
      </c>
      <c r="J142" s="4" t="s">
        <v>30</v>
      </c>
      <c r="K142" s="4" t="str" cm="1">
        <f t="array" ref="K14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142" s="4" t="s">
        <v>469</v>
      </c>
      <c r="M142" s="4" t="s">
        <v>506</v>
      </c>
      <c r="N142" s="4" t="s">
        <v>1713</v>
      </c>
      <c r="O142" s="4" t="s">
        <v>181</v>
      </c>
      <c r="P142" s="13">
        <v>46270</v>
      </c>
      <c r="Q142" s="13">
        <v>46270</v>
      </c>
      <c r="R142" s="5">
        <v>1</v>
      </c>
      <c r="S142" s="5" t="s">
        <v>176</v>
      </c>
      <c r="T142" s="13">
        <v>46280</v>
      </c>
      <c r="U142" s="13">
        <v>46280</v>
      </c>
      <c r="V142" s="5">
        <v>0</v>
      </c>
      <c r="W142" s="22">
        <f>_xlfn.LET(
_xlpm.H,Table1[[#This Row],[Thời hạn mới nhất (Date)]],
_xlpm.S,Table1[[#This Row],[Snapshot]],
IF(
    ISNUMBER(_xlpm.H),
    INT(_xlpm.H)-INT(_xlpm.S),
    "Không giao thời hạn"
))</f>
        <v>-2</v>
      </c>
      <c r="X142" s="4" t="s">
        <v>946</v>
      </c>
      <c r="Y142" s="5" t="s">
        <v>194</v>
      </c>
      <c r="Z142" s="5"/>
      <c r="AA142" s="5"/>
      <c r="AB142" s="4"/>
      <c r="AC142" s="6"/>
      <c r="AD142" s="6"/>
      <c r="AE142" s="4">
        <v>0</v>
      </c>
      <c r="AF142" s="26" t="str">
        <f>_xlfn.LET(
_xlpm.H,Table1[[#This Row],[Thời hạn mới nhất (Date)]],
_xlpm.D,Table1[[#This Row],[Dự kiến mới nhất (Date)]],
IF(
NOT(ISNUMBER(_xlpm.H)),"Không giao thời hạn",
IF(
NOT(ISNUMBER(_xlpm.D)),"Chưa có dự kiến",
_xlpm.D-_xlpm.H
)))</f>
        <v>Chưa có dự kiến</v>
      </c>
    </row>
    <row r="143" spans="1:32" ht="116.6" x14ac:dyDescent="0.4">
      <c r="A143" s="44">
        <v>46275</v>
      </c>
      <c r="B143" s="4" t="s">
        <v>505</v>
      </c>
      <c r="C143" s="5" t="s">
        <v>469</v>
      </c>
      <c r="D143" s="5">
        <v>22</v>
      </c>
      <c r="E143" s="5" t="str">
        <f>_xlfn.TEXTJOIN("+",TRUE,Table1[[#This Row],[Snapshot]:[ID]])</f>
        <v>46275+DIR-499B8E17C0AE</v>
      </c>
      <c r="F143" s="5"/>
      <c r="G143" s="5" t="s">
        <v>1368</v>
      </c>
      <c r="H143" s="20" t="s">
        <v>1369</v>
      </c>
      <c r="I143" s="5" t="s">
        <v>89</v>
      </c>
      <c r="J143" s="4" t="s">
        <v>30</v>
      </c>
      <c r="K143" s="4" t="str" cm="1">
        <f t="array" ref="K14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143" s="4" t="s">
        <v>469</v>
      </c>
      <c r="M143" s="4" t="s">
        <v>506</v>
      </c>
      <c r="N143" s="4" t="s">
        <v>1713</v>
      </c>
      <c r="O143" s="4" t="s">
        <v>181</v>
      </c>
      <c r="P143" s="6">
        <v>46270</v>
      </c>
      <c r="Q143" s="6">
        <v>46270</v>
      </c>
      <c r="R143" s="5">
        <v>1</v>
      </c>
      <c r="S143" s="5" t="s">
        <v>176</v>
      </c>
      <c r="T143" s="13">
        <v>46280</v>
      </c>
      <c r="U143" s="13">
        <v>46280</v>
      </c>
      <c r="V143" s="5">
        <v>0</v>
      </c>
      <c r="W143" s="22">
        <f>_xlfn.LET(
_xlpm.H,Table1[[#This Row],[Thời hạn mới nhất (Date)]],
_xlpm.S,Table1[[#This Row],[Snapshot]],
IF(
    ISNUMBER(_xlpm.H),
    INT(_xlpm.H)-INT(_xlpm.S),
    "Không giao thời hạn"
))</f>
        <v>5</v>
      </c>
      <c r="X143" s="4" t="s">
        <v>507</v>
      </c>
      <c r="Y143" s="5"/>
      <c r="Z143" s="5" t="s">
        <v>194</v>
      </c>
      <c r="AA143" s="5"/>
      <c r="AB143" s="4" t="s">
        <v>508</v>
      </c>
      <c r="AC143" s="6"/>
      <c r="AD143" s="6"/>
      <c r="AE143" s="4">
        <v>0</v>
      </c>
      <c r="AF143" s="26" t="str">
        <f>_xlfn.LET(
_xlpm.H,Table1[[#This Row],[Thời hạn mới nhất (Date)]],
_xlpm.D,Table1[[#This Row],[Dự kiến mới nhất (Date)]],
IF(
NOT(ISNUMBER(_xlpm.H)),"Không giao thời hạn",
IF(
NOT(ISNUMBER(_xlpm.D)),"Chưa có dự kiến",
_xlpm.D-_xlpm.H
)))</f>
        <v>Chưa có dự kiến</v>
      </c>
    </row>
    <row r="144" spans="1:32" ht="174.9" x14ac:dyDescent="0.4">
      <c r="A144" s="44">
        <v>46282</v>
      </c>
      <c r="B144" s="4" t="s">
        <v>306</v>
      </c>
      <c r="C144" s="5" t="s">
        <v>297</v>
      </c>
      <c r="D144" s="5">
        <v>15</v>
      </c>
      <c r="E144" s="5" t="str">
        <f>_xlfn.TEXTJOIN("+",TRUE,Table1[[#This Row],[Snapshot]:[ID]])</f>
        <v>46282+DIR-49ACA02E071B</v>
      </c>
      <c r="F144" s="5"/>
      <c r="G144" s="20" t="s">
        <v>1191</v>
      </c>
      <c r="H144" s="20" t="s">
        <v>1194</v>
      </c>
      <c r="I144" s="5" t="s">
        <v>57</v>
      </c>
      <c r="J144" s="4" t="s">
        <v>30</v>
      </c>
      <c r="K144" s="4" t="str" cm="1">
        <f t="array" ref="K14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144" s="4" t="s">
        <v>297</v>
      </c>
      <c r="M144" s="4" t="s">
        <v>307</v>
      </c>
      <c r="N144" s="4" t="s">
        <v>1701</v>
      </c>
      <c r="O144" s="4" t="s">
        <v>308</v>
      </c>
      <c r="P144" s="6">
        <v>46109</v>
      </c>
      <c r="Q144" s="6">
        <v>46186</v>
      </c>
      <c r="R144" s="5">
        <v>4</v>
      </c>
      <c r="S144" s="5" t="s">
        <v>309</v>
      </c>
      <c r="T144" s="13">
        <v>46199</v>
      </c>
      <c r="U144" s="13">
        <v>46199</v>
      </c>
      <c r="V144" s="5">
        <v>0</v>
      </c>
      <c r="W144" s="22">
        <f>_xlfn.LET(
_xlpm.H,Table1[[#This Row],[Thời hạn mới nhất (Date)]],
_xlpm.S,Table1[[#This Row],[Snapshot]],
IF(
    ISNUMBER(_xlpm.H),
    INT(_xlpm.H)-INT(_xlpm.S),
    "Không giao thời hạn"
))</f>
        <v>-83</v>
      </c>
      <c r="X144" s="4" t="s">
        <v>310</v>
      </c>
      <c r="Y144" s="5"/>
      <c r="Z144" s="5" t="s">
        <v>35</v>
      </c>
      <c r="AA144" s="5"/>
      <c r="AB144" s="4" t="s">
        <v>301</v>
      </c>
      <c r="AC144" s="6">
        <v>46295</v>
      </c>
      <c r="AD144" s="6">
        <v>46295</v>
      </c>
      <c r="AE144" s="4">
        <v>0</v>
      </c>
      <c r="AF144" s="26">
        <f>_xlfn.LET(
_xlpm.H,Table1[[#This Row],[Thời hạn mới nhất (Date)]],
_xlpm.D,Table1[[#This Row],[Dự kiến mới nhất (Date)]],
IF(
NOT(ISNUMBER(_xlpm.H)),"Không giao thời hạn",
IF(
NOT(ISNUMBER(_xlpm.D)),"Chưa có dự kiến",
_xlpm.D-_xlpm.H
)))</f>
        <v>96</v>
      </c>
    </row>
    <row r="145" spans="1:32" ht="174.9" x14ac:dyDescent="0.4">
      <c r="A145" s="44">
        <v>46275</v>
      </c>
      <c r="B145" s="4" t="s">
        <v>306</v>
      </c>
      <c r="C145" s="5" t="s">
        <v>297</v>
      </c>
      <c r="D145" s="5">
        <v>15</v>
      </c>
      <c r="E145" s="5" t="str">
        <f>_xlfn.TEXTJOIN("+",TRUE,Table1[[#This Row],[Snapshot]:[ID]])</f>
        <v>46275+DIR-49ACA02E071B</v>
      </c>
      <c r="F145" s="5"/>
      <c r="G145" s="20" t="s">
        <v>1192</v>
      </c>
      <c r="H145" s="20" t="s">
        <v>1193</v>
      </c>
      <c r="I145" s="5" t="s">
        <v>57</v>
      </c>
      <c r="J145" s="4" t="s">
        <v>30</v>
      </c>
      <c r="K145" s="4" t="str" cm="1">
        <f t="array" ref="K14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145" s="4" t="s">
        <v>297</v>
      </c>
      <c r="M145" s="4" t="s">
        <v>307</v>
      </c>
      <c r="N145" s="4" t="s">
        <v>1701</v>
      </c>
      <c r="O145" s="4" t="s">
        <v>308</v>
      </c>
      <c r="P145" s="6">
        <v>46109</v>
      </c>
      <c r="Q145" s="6">
        <v>46186</v>
      </c>
      <c r="R145" s="5">
        <v>4</v>
      </c>
      <c r="S145" s="5" t="s">
        <v>309</v>
      </c>
      <c r="T145" s="13">
        <v>46199</v>
      </c>
      <c r="U145" s="13">
        <v>46199</v>
      </c>
      <c r="V145" s="5">
        <v>0</v>
      </c>
      <c r="W145" s="22">
        <f>_xlfn.LET(
_xlpm.H,Table1[[#This Row],[Thời hạn mới nhất (Date)]],
_xlpm.S,Table1[[#This Row],[Snapshot]],
IF(
    ISNUMBER(_xlpm.H),
    INT(_xlpm.H)-INT(_xlpm.S),
    "Không giao thời hạn"
))</f>
        <v>-76</v>
      </c>
      <c r="X145" s="4" t="s">
        <v>310</v>
      </c>
      <c r="Y145" s="5"/>
      <c r="Z145" s="5" t="s">
        <v>35</v>
      </c>
      <c r="AA145" s="5"/>
      <c r="AB145" s="4" t="s">
        <v>301</v>
      </c>
      <c r="AC145" s="6">
        <v>46295</v>
      </c>
      <c r="AD145" s="6">
        <v>46295</v>
      </c>
      <c r="AE145" s="4">
        <v>0</v>
      </c>
      <c r="AF145" s="26">
        <f>_xlfn.LET(
_xlpm.H,Table1[[#This Row],[Thời hạn mới nhất (Date)]],
_xlpm.D,Table1[[#This Row],[Dự kiến mới nhất (Date)]],
IF(
NOT(ISNUMBER(_xlpm.H)),"Không giao thời hạn",
IF(
NOT(ISNUMBER(_xlpm.D)),"Chưa có dự kiến",
_xlpm.D-_xlpm.H
)))</f>
        <v>96</v>
      </c>
    </row>
    <row r="146" spans="1:32" ht="291.45" x14ac:dyDescent="0.4">
      <c r="A146" s="44">
        <v>46282</v>
      </c>
      <c r="B146" s="4" t="s">
        <v>843</v>
      </c>
      <c r="C146" s="5" t="s">
        <v>688</v>
      </c>
      <c r="D146" s="5">
        <v>65</v>
      </c>
      <c r="E146" s="5" t="str">
        <f>_xlfn.TEXTJOIN("+",TRUE,Table1[[#This Row],[Snapshot]:[ID]])</f>
        <v>46282+DIR-4A9515AEACE6</v>
      </c>
      <c r="F146" s="5"/>
      <c r="G146" s="5" t="s">
        <v>1850</v>
      </c>
      <c r="H146" s="20" t="s">
        <v>1851</v>
      </c>
      <c r="I146" s="5" t="s">
        <v>45</v>
      </c>
      <c r="J146" s="4" t="s">
        <v>200</v>
      </c>
      <c r="K146" s="4" t="str" cm="1">
        <f t="array" ref="K14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28. Bảo hiểm và Phân phối Bảo hiểm</v>
      </c>
      <c r="L146" s="4" t="s">
        <v>688</v>
      </c>
      <c r="M146" s="4" t="s">
        <v>844</v>
      </c>
      <c r="N146" s="4" t="s">
        <v>1696</v>
      </c>
      <c r="O146" s="4" t="s">
        <v>154</v>
      </c>
      <c r="P146" s="6">
        <v>46200</v>
      </c>
      <c r="Q146" s="6">
        <v>46200</v>
      </c>
      <c r="R146" s="5">
        <v>1</v>
      </c>
      <c r="S146" s="5"/>
      <c r="T146" s="13"/>
      <c r="U146" s="13"/>
      <c r="V146" s="5">
        <v>0</v>
      </c>
      <c r="W146" s="22" t="str">
        <f>_xlfn.LET(
_xlpm.H,Table1[[#This Row],[Thời hạn mới nhất (Date)]],
_xlpm.S,Table1[[#This Row],[Snapshot]],
IF(
    ISNUMBER(_xlpm.H),
    INT(_xlpm.H)-INT(_xlpm.S),
    "Không giao thời hạn"
))</f>
        <v>Không giao thời hạn</v>
      </c>
      <c r="X146" s="4" t="s">
        <v>845</v>
      </c>
      <c r="Y146" s="5"/>
      <c r="Z146" s="5" t="s">
        <v>35</v>
      </c>
      <c r="AA146" s="5"/>
      <c r="AB146" s="4"/>
      <c r="AC146" s="6"/>
      <c r="AD146" s="6"/>
      <c r="AE146" s="4">
        <v>0</v>
      </c>
      <c r="AF146" s="26" t="str">
        <f>_xlfn.LET(
_xlpm.H,Table1[[#This Row],[Thời hạn mới nhất (Date)]],
_xlpm.D,Table1[[#This Row],[Dự kiến mới nhất (Date)]],
IF(
NOT(ISNUMBER(_xlpm.H)),"Không giao thời hạn",
IF(
NOT(ISNUMBER(_xlpm.D)),"Chưa có dự kiến",
_xlpm.D-_xlpm.H
)))</f>
        <v>Không giao thời hạn</v>
      </c>
    </row>
    <row r="147" spans="1:32" ht="291.45" x14ac:dyDescent="0.4">
      <c r="A147" s="44">
        <v>46275</v>
      </c>
      <c r="B147" s="4" t="s">
        <v>843</v>
      </c>
      <c r="C147" s="5" t="s">
        <v>688</v>
      </c>
      <c r="D147" s="5">
        <v>64</v>
      </c>
      <c r="E147" s="5" t="str">
        <f>_xlfn.TEXTJOIN("+",TRUE,Table1[[#This Row],[Snapshot]:[ID]])</f>
        <v>46275+DIR-4A9515AEACE6</v>
      </c>
      <c r="F147" s="5"/>
      <c r="G147" s="5" t="s">
        <v>1852</v>
      </c>
      <c r="H147" s="20" t="s">
        <v>1853</v>
      </c>
      <c r="I147" s="5" t="s">
        <v>45</v>
      </c>
      <c r="J147" s="4" t="s">
        <v>200</v>
      </c>
      <c r="K147" s="4" t="str" cm="1">
        <f t="array" ref="K14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28. Bảo hiểm và Phân phối Bảo hiểm</v>
      </c>
      <c r="L147" s="4" t="s">
        <v>688</v>
      </c>
      <c r="M147" s="4" t="s">
        <v>844</v>
      </c>
      <c r="N147" s="4" t="s">
        <v>1696</v>
      </c>
      <c r="O147" s="4" t="s">
        <v>154</v>
      </c>
      <c r="P147" s="6">
        <v>46200</v>
      </c>
      <c r="Q147" s="6">
        <v>46200</v>
      </c>
      <c r="R147" s="5">
        <v>1</v>
      </c>
      <c r="S147" s="5"/>
      <c r="T147" s="13"/>
      <c r="U147" s="13"/>
      <c r="V147" s="5">
        <v>0</v>
      </c>
      <c r="W147" s="22" t="str">
        <f>_xlfn.LET(
_xlpm.H,Table1[[#This Row],[Thời hạn mới nhất (Date)]],
_xlpm.S,Table1[[#This Row],[Snapshot]],
IF(
    ISNUMBER(_xlpm.H),
    INT(_xlpm.H)-INT(_xlpm.S),
    "Không giao thời hạn"
))</f>
        <v>Không giao thời hạn</v>
      </c>
      <c r="X147" s="4" t="s">
        <v>845</v>
      </c>
      <c r="Y147" s="5"/>
      <c r="Z147" s="5" t="s">
        <v>35</v>
      </c>
      <c r="AA147" s="5"/>
      <c r="AB147" s="4"/>
      <c r="AC147" s="6"/>
      <c r="AD147" s="6"/>
      <c r="AE147" s="4">
        <v>0</v>
      </c>
      <c r="AF147" s="26" t="str">
        <f>_xlfn.LET(
_xlpm.H,Table1[[#This Row],[Thời hạn mới nhất (Date)]],
_xlpm.D,Table1[[#This Row],[Dự kiến mới nhất (Date)]],
IF(
NOT(ISNUMBER(_xlpm.H)),"Không giao thời hạn",
IF(
NOT(ISNUMBER(_xlpm.D)),"Chưa có dự kiến",
_xlpm.D-_xlpm.H
)))</f>
        <v>Không giao thời hạn</v>
      </c>
    </row>
    <row r="148" spans="1:32" ht="160.30000000000001" x14ac:dyDescent="0.4">
      <c r="A148" s="44">
        <v>46282</v>
      </c>
      <c r="B148" s="4" t="s">
        <v>753</v>
      </c>
      <c r="C148" s="5" t="s">
        <v>688</v>
      </c>
      <c r="D148" s="5">
        <v>37</v>
      </c>
      <c r="E148" s="5" t="str">
        <f>_xlfn.TEXTJOIN("+",TRUE,Table1[[#This Row],[Snapshot]:[ID]])</f>
        <v>46282+DIR-4BF069FED73B</v>
      </c>
      <c r="F148" s="5"/>
      <c r="G148" s="5" t="s">
        <v>1430</v>
      </c>
      <c r="H148" s="20" t="s">
        <v>1431</v>
      </c>
      <c r="I148" s="5" t="s">
        <v>141</v>
      </c>
      <c r="J148" s="4" t="s">
        <v>689</v>
      </c>
      <c r="K148" s="4" t="str" cm="1">
        <f t="array" ref="K14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148" s="4" t="s">
        <v>688</v>
      </c>
      <c r="M148" s="4" t="s">
        <v>90</v>
      </c>
      <c r="N148" s="4" t="s">
        <v>1696</v>
      </c>
      <c r="O148" s="4" t="s">
        <v>71</v>
      </c>
      <c r="P148" s="6">
        <v>46235</v>
      </c>
      <c r="Q148" s="6">
        <v>46235</v>
      </c>
      <c r="R148" s="5">
        <v>1</v>
      </c>
      <c r="S148" s="5" t="s">
        <v>77</v>
      </c>
      <c r="T148" s="13">
        <v>46295</v>
      </c>
      <c r="U148" s="13">
        <v>46295</v>
      </c>
      <c r="V148" s="5">
        <v>0</v>
      </c>
      <c r="W148" s="22">
        <f>_xlfn.LET(
_xlpm.H,Table1[[#This Row],[Thời hạn mới nhất (Date)]],
_xlpm.S,Table1[[#This Row],[Snapshot]],
IF(
    ISNUMBER(_xlpm.H),
    INT(_xlpm.H)-INT(_xlpm.S),
    "Không giao thời hạn"
))</f>
        <v>13</v>
      </c>
      <c r="X148" s="4" t="s">
        <v>754</v>
      </c>
      <c r="Y148" s="5"/>
      <c r="Z148" s="5" t="s">
        <v>35</v>
      </c>
      <c r="AA148" s="5"/>
      <c r="AB148" s="4"/>
      <c r="AC148" s="6"/>
      <c r="AD148" s="6"/>
      <c r="AE148" s="4">
        <v>0</v>
      </c>
      <c r="AF148" s="26" t="str">
        <f>_xlfn.LET(
_xlpm.H,Table1[[#This Row],[Thời hạn mới nhất (Date)]],
_xlpm.D,Table1[[#This Row],[Dự kiến mới nhất (Date)]],
IF(
NOT(ISNUMBER(_xlpm.H)),"Không giao thời hạn",
IF(
NOT(ISNUMBER(_xlpm.D)),"Chưa có dự kiến",
_xlpm.D-_xlpm.H
)))</f>
        <v>Chưa có dự kiến</v>
      </c>
    </row>
    <row r="149" spans="1:32" ht="102" x14ac:dyDescent="0.4">
      <c r="A149" s="44">
        <v>46275</v>
      </c>
      <c r="B149" s="4" t="s">
        <v>753</v>
      </c>
      <c r="C149" s="5" t="s">
        <v>688</v>
      </c>
      <c r="D149" s="5">
        <v>37</v>
      </c>
      <c r="E149" s="5" t="str">
        <f>_xlfn.TEXTJOIN("+",TRUE,Table1[[#This Row],[Snapshot]:[ID]])</f>
        <v>46275+DIR-4BF069FED73B</v>
      </c>
      <c r="F149" s="5"/>
      <c r="G149" s="5" t="s">
        <v>1432</v>
      </c>
      <c r="H149" s="20" t="s">
        <v>1433</v>
      </c>
      <c r="I149" s="5" t="s">
        <v>141</v>
      </c>
      <c r="J149" s="4" t="s">
        <v>689</v>
      </c>
      <c r="K149" s="4" t="str" cm="1">
        <f t="array" ref="K14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149" s="4" t="s">
        <v>688</v>
      </c>
      <c r="M149" s="4" t="s">
        <v>90</v>
      </c>
      <c r="N149" s="4" t="s">
        <v>1696</v>
      </c>
      <c r="O149" s="4" t="s">
        <v>71</v>
      </c>
      <c r="P149" s="6">
        <v>46235</v>
      </c>
      <c r="Q149" s="6">
        <v>46235</v>
      </c>
      <c r="R149" s="5">
        <v>1</v>
      </c>
      <c r="S149" s="5" t="s">
        <v>77</v>
      </c>
      <c r="T149" s="13">
        <v>46295</v>
      </c>
      <c r="U149" s="13">
        <v>46295</v>
      </c>
      <c r="V149" s="5">
        <v>0</v>
      </c>
      <c r="W149" s="22">
        <f>_xlfn.LET(
_xlpm.H,Table1[[#This Row],[Thời hạn mới nhất (Date)]],
_xlpm.S,Table1[[#This Row],[Snapshot]],
IF(
    ISNUMBER(_xlpm.H),
    INT(_xlpm.H)-INT(_xlpm.S),
    "Không giao thời hạn"
))</f>
        <v>20</v>
      </c>
      <c r="X149" s="4" t="s">
        <v>754</v>
      </c>
      <c r="Y149" s="5"/>
      <c r="Z149" s="5" t="s">
        <v>35</v>
      </c>
      <c r="AA149" s="5"/>
      <c r="AB149" s="4"/>
      <c r="AC149" s="6"/>
      <c r="AD149" s="6"/>
      <c r="AE149" s="4">
        <v>0</v>
      </c>
      <c r="AF149" s="26" t="str">
        <f>_xlfn.LET(
_xlpm.H,Table1[[#This Row],[Thời hạn mới nhất (Date)]],
_xlpm.D,Table1[[#This Row],[Dự kiến mới nhất (Date)]],
IF(
NOT(ISNUMBER(_xlpm.H)),"Không giao thời hạn",
IF(
NOT(ISNUMBER(_xlpm.D)),"Chưa có dự kiến",
_xlpm.D-_xlpm.H
)))</f>
        <v>Chưa có dự kiến</v>
      </c>
    </row>
    <row r="150" spans="1:32" ht="189.45" x14ac:dyDescent="0.4">
      <c r="A150" s="44">
        <v>46282</v>
      </c>
      <c r="B150" s="4" t="s">
        <v>573</v>
      </c>
      <c r="C150" s="5" t="s">
        <v>570</v>
      </c>
      <c r="D150" s="5">
        <v>14</v>
      </c>
      <c r="E150" s="5" t="str">
        <f>_xlfn.TEXTJOIN("+",TRUE,Table1[[#This Row],[Snapshot]:[ID]])</f>
        <v>46282+DIR-4DF5D7A8C3F8</v>
      </c>
      <c r="F150" s="5"/>
      <c r="G150" s="5" t="s">
        <v>1628</v>
      </c>
      <c r="H150" s="20" t="s">
        <v>1629</v>
      </c>
      <c r="I150" s="5" t="s">
        <v>52</v>
      </c>
      <c r="J150" s="4" t="s">
        <v>30</v>
      </c>
      <c r="K150" s="4" t="str" cm="1">
        <f t="array" ref="K15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13. Tái cơ cấu và Chuyển giao Bắt buộc</v>
      </c>
      <c r="L150" s="4" t="s">
        <v>570</v>
      </c>
      <c r="M150" s="4" t="s">
        <v>574</v>
      </c>
      <c r="N150" s="4" t="s">
        <v>1697</v>
      </c>
      <c r="O150" s="4" t="s">
        <v>149</v>
      </c>
      <c r="P150" s="6">
        <v>46195</v>
      </c>
      <c r="Q150" s="6">
        <v>46195</v>
      </c>
      <c r="R150" s="5">
        <v>1</v>
      </c>
      <c r="S150" s="5" t="s">
        <v>431</v>
      </c>
      <c r="T150" s="13">
        <v>46203</v>
      </c>
      <c r="U150" s="13">
        <v>46203</v>
      </c>
      <c r="V150" s="5">
        <v>0</v>
      </c>
      <c r="W150" s="22">
        <f>_xlfn.LET(
_xlpm.H,Table1[[#This Row],[Thời hạn mới nhất (Date)]],
_xlpm.S,Table1[[#This Row],[Snapshot]],
IF(
    ISNUMBER(_xlpm.H),
    INT(_xlpm.H)-INT(_xlpm.S),
    "Không giao thời hạn"
))</f>
        <v>-79</v>
      </c>
      <c r="X150" s="4" t="s">
        <v>575</v>
      </c>
      <c r="Y150" s="5"/>
      <c r="Z150" s="5" t="s">
        <v>35</v>
      </c>
      <c r="AA150" s="5"/>
      <c r="AB150" s="4"/>
      <c r="AC150" s="6"/>
      <c r="AD150" s="6"/>
      <c r="AE150" s="4">
        <v>0</v>
      </c>
      <c r="AF150" s="26" t="str">
        <f>_xlfn.LET(
_xlpm.H,Table1[[#This Row],[Thời hạn mới nhất (Date)]],
_xlpm.D,Table1[[#This Row],[Dự kiến mới nhất (Date)]],
IF(
NOT(ISNUMBER(_xlpm.H)),"Không giao thời hạn",
IF(
NOT(ISNUMBER(_xlpm.D)),"Chưa có dự kiến",
_xlpm.D-_xlpm.H
)))</f>
        <v>Chưa có dự kiến</v>
      </c>
    </row>
    <row r="151" spans="1:32" ht="131.15" x14ac:dyDescent="0.4">
      <c r="A151" s="44">
        <v>46275</v>
      </c>
      <c r="B151" s="4" t="s">
        <v>573</v>
      </c>
      <c r="C151" s="5" t="s">
        <v>570</v>
      </c>
      <c r="D151" s="5">
        <v>14</v>
      </c>
      <c r="E151" s="5" t="str">
        <f>_xlfn.TEXTJOIN("+",TRUE,Table1[[#This Row],[Snapshot]:[ID]])</f>
        <v>46275+DIR-4DF5D7A8C3F8</v>
      </c>
      <c r="F151" s="5"/>
      <c r="G151" s="5" t="s">
        <v>1630</v>
      </c>
      <c r="H151" s="20" t="s">
        <v>1631</v>
      </c>
      <c r="I151" s="5" t="s">
        <v>52</v>
      </c>
      <c r="J151" s="4" t="s">
        <v>30</v>
      </c>
      <c r="K151" s="4" t="str" cm="1">
        <f t="array" ref="K15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13. Tái cơ cấu và Chuyển giao Bắt buộc</v>
      </c>
      <c r="L151" s="4" t="s">
        <v>570</v>
      </c>
      <c r="M151" s="4" t="s">
        <v>574</v>
      </c>
      <c r="N151" s="4" t="s">
        <v>1697</v>
      </c>
      <c r="O151" s="4" t="s">
        <v>149</v>
      </c>
      <c r="P151" s="6">
        <v>46195</v>
      </c>
      <c r="Q151" s="6">
        <v>46195</v>
      </c>
      <c r="R151" s="5">
        <v>1</v>
      </c>
      <c r="S151" s="5" t="s">
        <v>431</v>
      </c>
      <c r="T151" s="13">
        <v>46203</v>
      </c>
      <c r="U151" s="13">
        <v>46203</v>
      </c>
      <c r="V151" s="5">
        <v>0</v>
      </c>
      <c r="W151" s="22">
        <f>_xlfn.LET(
_xlpm.H,Table1[[#This Row],[Thời hạn mới nhất (Date)]],
_xlpm.S,Table1[[#This Row],[Snapshot]],
IF(
    ISNUMBER(_xlpm.H),
    INT(_xlpm.H)-INT(_xlpm.S),
    "Không giao thời hạn"
))</f>
        <v>-72</v>
      </c>
      <c r="X151" s="4" t="s">
        <v>575</v>
      </c>
      <c r="Y151" s="5"/>
      <c r="Z151" s="5" t="s">
        <v>35</v>
      </c>
      <c r="AA151" s="5"/>
      <c r="AB151" s="4"/>
      <c r="AC151" s="6"/>
      <c r="AD151" s="6"/>
      <c r="AE151" s="4">
        <v>0</v>
      </c>
      <c r="AF151" s="26" t="str">
        <f>_xlfn.LET(
_xlpm.H,Table1[[#This Row],[Thời hạn mới nhất (Date)]],
_xlpm.D,Table1[[#This Row],[Dự kiến mới nhất (Date)]],
IF(
NOT(ISNUMBER(_xlpm.H)),"Không giao thời hạn",
IF(
NOT(ISNUMBER(_xlpm.D)),"Chưa có dự kiến",
_xlpm.D-_xlpm.H
)))</f>
        <v>Chưa có dự kiến</v>
      </c>
    </row>
    <row r="152" spans="1:32" ht="116.6" x14ac:dyDescent="0.4">
      <c r="A152" s="44">
        <v>46282</v>
      </c>
      <c r="B152" s="4" t="s">
        <v>902</v>
      </c>
      <c r="C152" s="5" t="s">
        <v>888</v>
      </c>
      <c r="D152" s="5">
        <v>16</v>
      </c>
      <c r="E152" s="5" t="str">
        <f>_xlfn.TEXTJOIN("+",TRUE,Table1[[#This Row],[Snapshot]:[ID]])</f>
        <v>46282+DIR-4E75EEA240B9</v>
      </c>
      <c r="F152" s="5"/>
      <c r="G152" s="5" t="s">
        <v>1854</v>
      </c>
      <c r="H152" s="20" t="s">
        <v>1855</v>
      </c>
      <c r="I152" s="5" t="s">
        <v>63</v>
      </c>
      <c r="J152" s="4" t="s">
        <v>30</v>
      </c>
      <c r="K152" s="4" t="str" cm="1">
        <f t="array" ref="K15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52" s="4" t="s">
        <v>888</v>
      </c>
      <c r="M152" s="4" t="s">
        <v>903</v>
      </c>
      <c r="N152" s="4" t="s">
        <v>1711</v>
      </c>
      <c r="O152" s="4" t="s">
        <v>181</v>
      </c>
      <c r="P152" s="6">
        <v>46270</v>
      </c>
      <c r="Q152" s="6">
        <v>46270</v>
      </c>
      <c r="R152" s="5">
        <v>1</v>
      </c>
      <c r="S152" s="5" t="s">
        <v>176</v>
      </c>
      <c r="T152" s="13">
        <v>46280</v>
      </c>
      <c r="U152" s="13">
        <v>46280</v>
      </c>
      <c r="V152" s="5">
        <v>0</v>
      </c>
      <c r="W152" s="22">
        <f>_xlfn.LET(
_xlpm.H,Table1[[#This Row],[Thời hạn mới nhất (Date)]],
_xlpm.S,Table1[[#This Row],[Snapshot]],
IF(
    ISNUMBER(_xlpm.H),
    INT(_xlpm.H)-INT(_xlpm.S),
    "Không giao thời hạn"
))</f>
        <v>-2</v>
      </c>
      <c r="X152" s="4" t="s">
        <v>901</v>
      </c>
      <c r="Y152" s="5"/>
      <c r="Z152" s="5" t="s">
        <v>35</v>
      </c>
      <c r="AA152" s="5"/>
      <c r="AB152" s="4"/>
      <c r="AC152" s="6"/>
      <c r="AD152" s="6"/>
      <c r="AE152" s="4">
        <v>0</v>
      </c>
      <c r="AF152" s="26" t="str">
        <f>_xlfn.LET(
_xlpm.H,Table1[[#This Row],[Thời hạn mới nhất (Date)]],
_xlpm.D,Table1[[#This Row],[Dự kiến mới nhất (Date)]],
IF(
NOT(ISNUMBER(_xlpm.H)),"Không giao thời hạn",
IF(
NOT(ISNUMBER(_xlpm.D)),"Chưa có dự kiến",
_xlpm.D-_xlpm.H
)))</f>
        <v>Chưa có dự kiến</v>
      </c>
    </row>
    <row r="153" spans="1:32" ht="131.15" x14ac:dyDescent="0.4">
      <c r="A153" s="44">
        <v>46275</v>
      </c>
      <c r="B153" s="4" t="s">
        <v>902</v>
      </c>
      <c r="C153" s="5" t="s">
        <v>888</v>
      </c>
      <c r="D153" s="5">
        <v>18</v>
      </c>
      <c r="E153" s="5" t="str">
        <f>_xlfn.TEXTJOIN("+",TRUE,Table1[[#This Row],[Snapshot]:[ID]])</f>
        <v>46275+DIR-4E75EEA240B9</v>
      </c>
      <c r="F153" s="5"/>
      <c r="G153" s="5" t="s">
        <v>1856</v>
      </c>
      <c r="H153" s="20" t="s">
        <v>1857</v>
      </c>
      <c r="I153" s="5" t="s">
        <v>75</v>
      </c>
      <c r="J153" s="4" t="s">
        <v>30</v>
      </c>
      <c r="K153" s="4" t="str" cm="1">
        <f t="array" ref="K15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53" s="4" t="s">
        <v>888</v>
      </c>
      <c r="M153" s="4" t="s">
        <v>903</v>
      </c>
      <c r="N153" s="4" t="s">
        <v>1711</v>
      </c>
      <c r="O153" s="4" t="s">
        <v>181</v>
      </c>
      <c r="P153" s="6">
        <v>46270</v>
      </c>
      <c r="Q153" s="6">
        <v>46270</v>
      </c>
      <c r="R153" s="5">
        <v>1</v>
      </c>
      <c r="S153" s="5" t="s">
        <v>176</v>
      </c>
      <c r="T153" s="13">
        <v>46280</v>
      </c>
      <c r="U153" s="13">
        <v>46280</v>
      </c>
      <c r="V153" s="5">
        <v>0</v>
      </c>
      <c r="W153" s="22">
        <f>_xlfn.LET(
_xlpm.H,Table1[[#This Row],[Thời hạn mới nhất (Date)]],
_xlpm.S,Table1[[#This Row],[Snapshot]],
IF(
    ISNUMBER(_xlpm.H),
    INT(_xlpm.H)-INT(_xlpm.S),
    "Không giao thời hạn"
))</f>
        <v>5</v>
      </c>
      <c r="X153" s="4" t="s">
        <v>901</v>
      </c>
      <c r="Y153" s="5"/>
      <c r="Z153" s="5" t="s">
        <v>35</v>
      </c>
      <c r="AA153" s="5"/>
      <c r="AB153" s="4"/>
      <c r="AC153" s="6"/>
      <c r="AD153" s="6"/>
      <c r="AE153" s="4">
        <v>0</v>
      </c>
      <c r="AF153" s="26" t="str">
        <f>_xlfn.LET(
_xlpm.H,Table1[[#This Row],[Thời hạn mới nhất (Date)]],
_xlpm.D,Table1[[#This Row],[Dự kiến mới nhất (Date)]],
IF(
NOT(ISNUMBER(_xlpm.H)),"Không giao thời hạn",
IF(
NOT(ISNUMBER(_xlpm.D)),"Chưa có dự kiến",
_xlpm.D-_xlpm.H
)))</f>
        <v>Chưa có dự kiến</v>
      </c>
    </row>
    <row r="154" spans="1:32" ht="160.30000000000001" x14ac:dyDescent="0.4">
      <c r="A154" s="44">
        <v>46282</v>
      </c>
      <c r="B154" s="4" t="s">
        <v>100</v>
      </c>
      <c r="C154" s="5" t="s">
        <v>44</v>
      </c>
      <c r="D154" s="5">
        <v>24</v>
      </c>
      <c r="E154" s="5" t="str">
        <f>_xlfn.TEXTJOIN("+",TRUE,Table1[[#This Row],[Snapshot]:[ID]])</f>
        <v>46282+DIR-4EB75B83995D</v>
      </c>
      <c r="F154" s="5"/>
      <c r="G154" s="5" t="s">
        <v>1434</v>
      </c>
      <c r="H154" s="20" t="s">
        <v>1435</v>
      </c>
      <c r="I154" s="5" t="s">
        <v>101</v>
      </c>
      <c r="J154" s="4" t="s">
        <v>30</v>
      </c>
      <c r="K154" s="4" t="str" cm="1">
        <f t="array" ref="K15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154" s="4" t="s">
        <v>44</v>
      </c>
      <c r="M154" s="4" t="s">
        <v>102</v>
      </c>
      <c r="N154" s="4" t="s">
        <v>1703</v>
      </c>
      <c r="O154" s="4" t="s">
        <v>71</v>
      </c>
      <c r="P154" s="6">
        <v>46235</v>
      </c>
      <c r="Q154" s="6">
        <v>46235</v>
      </c>
      <c r="R154" s="5">
        <v>1</v>
      </c>
      <c r="S154" s="5" t="s">
        <v>103</v>
      </c>
      <c r="T154" s="13">
        <v>46264</v>
      </c>
      <c r="U154" s="13">
        <v>46264</v>
      </c>
      <c r="V154" s="5">
        <v>0</v>
      </c>
      <c r="W154" s="22">
        <f>_xlfn.LET(
_xlpm.H,Table1[[#This Row],[Thời hạn mới nhất (Date)]],
_xlpm.S,Table1[[#This Row],[Snapshot]],
IF(
    ISNUMBER(_xlpm.H),
    INT(_xlpm.H)-INT(_xlpm.S),
    "Không giao thời hạn"
))</f>
        <v>-18</v>
      </c>
      <c r="X154" s="4" t="s">
        <v>104</v>
      </c>
      <c r="Y154" s="5"/>
      <c r="Z154" s="5" t="s">
        <v>35</v>
      </c>
      <c r="AA154" s="5"/>
      <c r="AB154" s="4"/>
      <c r="AC154" s="6"/>
      <c r="AD154" s="6"/>
      <c r="AE154" s="4">
        <v>0</v>
      </c>
      <c r="AF154" s="26" t="str">
        <f>_xlfn.LET(
_xlpm.H,Table1[[#This Row],[Thời hạn mới nhất (Date)]],
_xlpm.D,Table1[[#This Row],[Dự kiến mới nhất (Date)]],
IF(
NOT(ISNUMBER(_xlpm.H)),"Không giao thời hạn",
IF(
NOT(ISNUMBER(_xlpm.D)),"Chưa có dự kiến",
_xlpm.D-_xlpm.H
)))</f>
        <v>Chưa có dự kiến</v>
      </c>
    </row>
    <row r="155" spans="1:32" ht="116.6" x14ac:dyDescent="0.4">
      <c r="A155" s="44">
        <v>46275</v>
      </c>
      <c r="B155" s="4" t="s">
        <v>100</v>
      </c>
      <c r="C155" s="5" t="s">
        <v>44</v>
      </c>
      <c r="D155" s="5">
        <v>24</v>
      </c>
      <c r="E155" s="5" t="str">
        <f>_xlfn.TEXTJOIN("+",TRUE,Table1[[#This Row],[Snapshot]:[ID]])</f>
        <v>46275+DIR-4EB75B83995D</v>
      </c>
      <c r="F155" s="5"/>
      <c r="G155" s="5" t="s">
        <v>1436</v>
      </c>
      <c r="H155" s="20" t="s">
        <v>1437</v>
      </c>
      <c r="I155" s="5" t="s">
        <v>101</v>
      </c>
      <c r="J155" s="4" t="s">
        <v>30</v>
      </c>
      <c r="K155" s="4" t="str" cm="1">
        <f t="array" ref="K15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155" s="4" t="s">
        <v>44</v>
      </c>
      <c r="M155" s="4" t="s">
        <v>102</v>
      </c>
      <c r="N155" s="4" t="s">
        <v>1703</v>
      </c>
      <c r="O155" s="4" t="s">
        <v>71</v>
      </c>
      <c r="P155" s="6">
        <v>46235</v>
      </c>
      <c r="Q155" s="6">
        <v>46235</v>
      </c>
      <c r="R155" s="5">
        <v>1</v>
      </c>
      <c r="S155" s="5" t="s">
        <v>103</v>
      </c>
      <c r="T155" s="13">
        <v>46264</v>
      </c>
      <c r="U155" s="13">
        <v>46264</v>
      </c>
      <c r="V155" s="5">
        <v>0</v>
      </c>
      <c r="W155" s="22">
        <f>_xlfn.LET(
_xlpm.H,Table1[[#This Row],[Thời hạn mới nhất (Date)]],
_xlpm.S,Table1[[#This Row],[Snapshot]],
IF(
    ISNUMBER(_xlpm.H),
    INT(_xlpm.H)-INT(_xlpm.S),
    "Không giao thời hạn"
))</f>
        <v>-11</v>
      </c>
      <c r="X155" s="4" t="s">
        <v>104</v>
      </c>
      <c r="Y155" s="5"/>
      <c r="Z155" s="5" t="s">
        <v>35</v>
      </c>
      <c r="AA155" s="5"/>
      <c r="AB155" s="4"/>
      <c r="AC155" s="6"/>
      <c r="AD155" s="6"/>
      <c r="AE155" s="4">
        <v>0</v>
      </c>
      <c r="AF155" s="26" t="str">
        <f>_xlfn.LET(
_xlpm.H,Table1[[#This Row],[Thời hạn mới nhất (Date)]],
_xlpm.D,Table1[[#This Row],[Dự kiến mới nhất (Date)]],
IF(
NOT(ISNUMBER(_xlpm.H)),"Không giao thời hạn",
IF(
NOT(ISNUMBER(_xlpm.D)),"Chưa có dự kiến",
_xlpm.D-_xlpm.H
)))</f>
        <v>Chưa có dự kiến</v>
      </c>
    </row>
    <row r="156" spans="1:32" ht="276.89999999999998" x14ac:dyDescent="0.4">
      <c r="A156" s="44">
        <v>46282</v>
      </c>
      <c r="B156" s="4" t="s">
        <v>56</v>
      </c>
      <c r="C156" s="5" t="s">
        <v>44</v>
      </c>
      <c r="D156" s="5">
        <v>15</v>
      </c>
      <c r="E156" s="5" t="str">
        <f>_xlfn.TEXTJOIN("+",TRUE,Table1[[#This Row],[Snapshot]:[ID]])</f>
        <v>46282+DIR-4F4ED7D26C70</v>
      </c>
      <c r="F156" s="5"/>
      <c r="G156" s="5" t="s">
        <v>1416</v>
      </c>
      <c r="H156" s="20" t="s">
        <v>1417</v>
      </c>
      <c r="I156" s="5" t="s">
        <v>57</v>
      </c>
      <c r="J156" s="4" t="s">
        <v>30</v>
      </c>
      <c r="K156" s="4" t="str" cm="1">
        <f t="array" ref="K15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156" s="4" t="s">
        <v>44</v>
      </c>
      <c r="M156" s="4" t="s">
        <v>58</v>
      </c>
      <c r="N156" s="4" t="s">
        <v>1703</v>
      </c>
      <c r="O156" s="4" t="s">
        <v>59</v>
      </c>
      <c r="P156" s="6">
        <v>46158</v>
      </c>
      <c r="Q156" s="6">
        <v>46158</v>
      </c>
      <c r="R156" s="5">
        <v>1</v>
      </c>
      <c r="S156" s="5"/>
      <c r="T156" s="13"/>
      <c r="U156" s="13"/>
      <c r="V156" s="5">
        <v>0</v>
      </c>
      <c r="W156" s="22" t="str">
        <f>_xlfn.LET(
_xlpm.H,Table1[[#This Row],[Thời hạn mới nhất (Date)]],
_xlpm.S,Table1[[#This Row],[Snapshot]],
IF(
    ISNUMBER(_xlpm.H),
    INT(_xlpm.H)-INT(_xlpm.S),
    "Không giao thời hạn"
))</f>
        <v>Không giao thời hạn</v>
      </c>
      <c r="X156" s="4" t="s">
        <v>60</v>
      </c>
      <c r="Y156" s="5"/>
      <c r="Z156" s="5" t="s">
        <v>35</v>
      </c>
      <c r="AA156" s="5"/>
      <c r="AB156" s="4" t="s">
        <v>61</v>
      </c>
      <c r="AC156" s="6"/>
      <c r="AD156" s="6"/>
      <c r="AE156" s="4">
        <v>0</v>
      </c>
      <c r="AF156" s="26" t="str">
        <f>_xlfn.LET(
_xlpm.H,Table1[[#This Row],[Thời hạn mới nhất (Date)]],
_xlpm.D,Table1[[#This Row],[Dự kiến mới nhất (Date)]],
IF(
NOT(ISNUMBER(_xlpm.H)),"Không giao thời hạn",
IF(
NOT(ISNUMBER(_xlpm.D)),"Chưa có dự kiến",
_xlpm.D-_xlpm.H
)))</f>
        <v>Không giao thời hạn</v>
      </c>
    </row>
    <row r="157" spans="1:32" ht="276.89999999999998" x14ac:dyDescent="0.4">
      <c r="A157" s="44">
        <v>46275</v>
      </c>
      <c r="B157" s="4" t="s">
        <v>56</v>
      </c>
      <c r="C157" s="5" t="s">
        <v>44</v>
      </c>
      <c r="D157" s="5">
        <v>15</v>
      </c>
      <c r="E157" s="5" t="str">
        <f>_xlfn.TEXTJOIN("+",TRUE,Table1[[#This Row],[Snapshot]:[ID]])</f>
        <v>46275+DIR-4F4ED7D26C70</v>
      </c>
      <c r="F157" s="5"/>
      <c r="G157" s="5" t="s">
        <v>1416</v>
      </c>
      <c r="H157" s="20" t="s">
        <v>1417</v>
      </c>
      <c r="I157" s="5" t="s">
        <v>57</v>
      </c>
      <c r="J157" s="4" t="s">
        <v>30</v>
      </c>
      <c r="K157" s="4" t="str" cm="1">
        <f t="array" ref="K15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157" s="4" t="s">
        <v>44</v>
      </c>
      <c r="M157" s="4" t="s">
        <v>58</v>
      </c>
      <c r="N157" s="4" t="s">
        <v>1703</v>
      </c>
      <c r="O157" s="4" t="s">
        <v>59</v>
      </c>
      <c r="P157" s="6">
        <v>46158</v>
      </c>
      <c r="Q157" s="6">
        <v>46158</v>
      </c>
      <c r="R157" s="5">
        <v>1</v>
      </c>
      <c r="S157" s="5"/>
      <c r="T157" s="13"/>
      <c r="U157" s="13"/>
      <c r="V157" s="5">
        <v>0</v>
      </c>
      <c r="W157" s="22" t="str">
        <f>_xlfn.LET(
_xlpm.H,Table1[[#This Row],[Thời hạn mới nhất (Date)]],
_xlpm.S,Table1[[#This Row],[Snapshot]],
IF(
    ISNUMBER(_xlpm.H),
    INT(_xlpm.H)-INT(_xlpm.S),
    "Không giao thời hạn"
))</f>
        <v>Không giao thời hạn</v>
      </c>
      <c r="X157" s="4" t="s">
        <v>60</v>
      </c>
      <c r="Y157" s="5"/>
      <c r="Z157" s="5" t="s">
        <v>35</v>
      </c>
      <c r="AA157" s="5"/>
      <c r="AB157" s="4" t="s">
        <v>61</v>
      </c>
      <c r="AC157" s="6"/>
      <c r="AD157" s="6"/>
      <c r="AE157" s="4">
        <v>0</v>
      </c>
      <c r="AF157" s="26" t="str">
        <f>_xlfn.LET(
_xlpm.H,Table1[[#This Row],[Thời hạn mới nhất (Date)]],
_xlpm.D,Table1[[#This Row],[Dự kiến mới nhất (Date)]],
IF(
NOT(ISNUMBER(_xlpm.H)),"Không giao thời hạn",
IF(
NOT(ISNUMBER(_xlpm.D)),"Chưa có dự kiến",
_xlpm.D-_xlpm.H
)))</f>
        <v>Không giao thời hạn</v>
      </c>
    </row>
    <row r="158" spans="1:32" ht="189.45" x14ac:dyDescent="0.4">
      <c r="A158" s="44">
        <v>46282</v>
      </c>
      <c r="B158" s="4" t="s">
        <v>474</v>
      </c>
      <c r="C158" s="5" t="s">
        <v>469</v>
      </c>
      <c r="D158" s="5">
        <v>15</v>
      </c>
      <c r="E158" s="5" t="str">
        <f>_xlfn.TEXTJOIN("+",TRUE,Table1[[#This Row],[Snapshot]:[ID]])</f>
        <v>46282+DIR-50240468D169</v>
      </c>
      <c r="F158" s="5"/>
      <c r="G158" s="5" t="s">
        <v>1632</v>
      </c>
      <c r="H158" s="20" t="s">
        <v>1633</v>
      </c>
      <c r="I158" s="5" t="s">
        <v>52</v>
      </c>
      <c r="J158" s="4" t="s">
        <v>30</v>
      </c>
      <c r="K158" s="4" t="str" cm="1">
        <f t="array" ref="K15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158" s="4" t="s">
        <v>469</v>
      </c>
      <c r="M158" s="4" t="s">
        <v>475</v>
      </c>
      <c r="N158" s="4" t="s">
        <v>1713</v>
      </c>
      <c r="O158" s="4" t="s">
        <v>476</v>
      </c>
      <c r="P158" s="6">
        <v>46172</v>
      </c>
      <c r="Q158" s="6">
        <v>46172</v>
      </c>
      <c r="R158" s="5">
        <v>1</v>
      </c>
      <c r="S158" s="5" t="s">
        <v>477</v>
      </c>
      <c r="T158" s="13">
        <v>46198</v>
      </c>
      <c r="U158" s="13">
        <v>46198</v>
      </c>
      <c r="V158" s="5">
        <v>0</v>
      </c>
      <c r="W158" s="22">
        <f>_xlfn.LET(
_xlpm.H,Table1[[#This Row],[Thời hạn mới nhất (Date)]],
_xlpm.S,Table1[[#This Row],[Snapshot]],
IF(
    ISNUMBER(_xlpm.H),
    INT(_xlpm.H)-INT(_xlpm.S),
    "Không giao thời hạn"
))</f>
        <v>-84</v>
      </c>
      <c r="X158" s="4" t="s">
        <v>944</v>
      </c>
      <c r="Y158" s="5"/>
      <c r="Z158" s="5" t="s">
        <v>35</v>
      </c>
      <c r="AA158" s="5"/>
      <c r="AB158" s="4" t="s">
        <v>479</v>
      </c>
      <c r="AC158" s="6"/>
      <c r="AD158" s="6"/>
      <c r="AE158" s="4">
        <v>0</v>
      </c>
      <c r="AF158" s="26" t="str">
        <f>_xlfn.LET(
_xlpm.H,Table1[[#This Row],[Thời hạn mới nhất (Date)]],
_xlpm.D,Table1[[#This Row],[Dự kiến mới nhất (Date)]],
IF(
NOT(ISNUMBER(_xlpm.H)),"Không giao thời hạn",
IF(
NOT(ISNUMBER(_xlpm.D)),"Chưa có dự kiến",
_xlpm.D-_xlpm.H
)))</f>
        <v>Chưa có dự kiến</v>
      </c>
    </row>
    <row r="159" spans="1:32" ht="116.6" x14ac:dyDescent="0.4">
      <c r="A159" s="44">
        <v>46275</v>
      </c>
      <c r="B159" s="4" t="s">
        <v>474</v>
      </c>
      <c r="C159" s="5" t="s">
        <v>469</v>
      </c>
      <c r="D159" s="5">
        <v>15</v>
      </c>
      <c r="E159" s="5" t="str">
        <f>_xlfn.TEXTJOIN("+",TRUE,Table1[[#This Row],[Snapshot]:[ID]])</f>
        <v>46275+DIR-50240468D169</v>
      </c>
      <c r="F159" s="5"/>
      <c r="G159" s="5" t="s">
        <v>1634</v>
      </c>
      <c r="H159" s="20" t="s">
        <v>1635</v>
      </c>
      <c r="I159" s="5" t="s">
        <v>52</v>
      </c>
      <c r="J159" s="4" t="s">
        <v>30</v>
      </c>
      <c r="K159" s="4" t="str" cm="1">
        <f t="array" ref="K15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159" s="4" t="s">
        <v>469</v>
      </c>
      <c r="M159" s="4" t="s">
        <v>475</v>
      </c>
      <c r="N159" s="4" t="s">
        <v>1713</v>
      </c>
      <c r="O159" s="4" t="s">
        <v>476</v>
      </c>
      <c r="P159" s="6">
        <v>46172</v>
      </c>
      <c r="Q159" s="6">
        <v>46172</v>
      </c>
      <c r="R159" s="5">
        <v>1</v>
      </c>
      <c r="S159" s="5" t="s">
        <v>477</v>
      </c>
      <c r="T159" s="13">
        <v>46198</v>
      </c>
      <c r="U159" s="13">
        <v>46198</v>
      </c>
      <c r="V159" s="5">
        <v>0</v>
      </c>
      <c r="W159" s="22">
        <f>_xlfn.LET(
_xlpm.H,Table1[[#This Row],[Thời hạn mới nhất (Date)]],
_xlpm.S,Table1[[#This Row],[Snapshot]],
IF(
    ISNUMBER(_xlpm.H),
    INT(_xlpm.H)-INT(_xlpm.S),
    "Không giao thời hạn"
))</f>
        <v>-77</v>
      </c>
      <c r="X159" s="4" t="s">
        <v>478</v>
      </c>
      <c r="Y159" s="5"/>
      <c r="Z159" s="5" t="s">
        <v>35</v>
      </c>
      <c r="AA159" s="5"/>
      <c r="AB159" s="4" t="s">
        <v>479</v>
      </c>
      <c r="AC159" s="6"/>
      <c r="AD159" s="6"/>
      <c r="AE159" s="4">
        <v>0</v>
      </c>
      <c r="AF159" s="26" t="str">
        <f>_xlfn.LET(
_xlpm.H,Table1[[#This Row],[Thời hạn mới nhất (Date)]],
_xlpm.D,Table1[[#This Row],[Dự kiến mới nhất (Date)]],
IF(
NOT(ISNUMBER(_xlpm.H)),"Không giao thời hạn",
IF(
NOT(ISNUMBER(_xlpm.D)),"Chưa có dự kiến",
_xlpm.D-_xlpm.H
)))</f>
        <v>Chưa có dự kiến</v>
      </c>
    </row>
    <row r="160" spans="1:32" ht="145.75" x14ac:dyDescent="0.4">
      <c r="A160" s="44">
        <v>46282</v>
      </c>
      <c r="B160" s="4" t="s">
        <v>409</v>
      </c>
      <c r="C160" s="5" t="s">
        <v>352</v>
      </c>
      <c r="D160" s="5">
        <v>27</v>
      </c>
      <c r="E160" s="5" t="str">
        <f>_xlfn.TEXTJOIN("+",TRUE,Table1[[#This Row],[Snapshot]:[ID]])</f>
        <v>46282+DIR-518C8DA26EAA</v>
      </c>
      <c r="F160" s="5"/>
      <c r="G160" s="5" t="s">
        <v>1636</v>
      </c>
      <c r="H160" s="20" t="s">
        <v>1637</v>
      </c>
      <c r="I160" s="5" t="s">
        <v>115</v>
      </c>
      <c r="J160" s="4" t="s">
        <v>30</v>
      </c>
      <c r="K160" s="4" t="str" cm="1">
        <f t="array" ref="K16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15. Mua sắm và Quản lý Nhà cung cấp</v>
      </c>
      <c r="L160" s="4" t="s">
        <v>352</v>
      </c>
      <c r="M160" s="4" t="s">
        <v>410</v>
      </c>
      <c r="N160" s="4" t="s">
        <v>1702</v>
      </c>
      <c r="O160" s="4" t="s">
        <v>32</v>
      </c>
      <c r="P160" s="6">
        <v>46242</v>
      </c>
      <c r="Q160" s="6">
        <v>46242</v>
      </c>
      <c r="R160" s="5">
        <v>1</v>
      </c>
      <c r="S160" s="5" t="s">
        <v>33</v>
      </c>
      <c r="T160" s="13">
        <v>46265</v>
      </c>
      <c r="U160" s="13">
        <v>46265</v>
      </c>
      <c r="V160" s="5">
        <v>0</v>
      </c>
      <c r="W160" s="22">
        <f>_xlfn.LET(
_xlpm.H,Table1[[#This Row],[Thời hạn mới nhất (Date)]],
_xlpm.S,Table1[[#This Row],[Snapshot]],
IF(
    ISNUMBER(_xlpm.H),
    INT(_xlpm.H)-INT(_xlpm.S),
    "Không giao thời hạn"
))</f>
        <v>-17</v>
      </c>
      <c r="X160" s="4" t="s">
        <v>411</v>
      </c>
      <c r="Y160" s="5"/>
      <c r="Z160" s="5" t="s">
        <v>35</v>
      </c>
      <c r="AA160" s="5"/>
      <c r="AB160" s="4"/>
      <c r="AC160" s="6"/>
      <c r="AD160" s="6"/>
      <c r="AE160" s="4">
        <v>0</v>
      </c>
      <c r="AF160" s="26" t="str">
        <f>_xlfn.LET(
_xlpm.H,Table1[[#This Row],[Thời hạn mới nhất (Date)]],
_xlpm.D,Table1[[#This Row],[Dự kiến mới nhất (Date)]],
IF(
NOT(ISNUMBER(_xlpm.H)),"Không giao thời hạn",
IF(
NOT(ISNUMBER(_xlpm.D)),"Chưa có dự kiến",
_xlpm.D-_xlpm.H
)))</f>
        <v>Chưa có dự kiến</v>
      </c>
    </row>
    <row r="161" spans="1:32" ht="72.900000000000006" x14ac:dyDescent="0.4">
      <c r="A161" s="44">
        <v>46275</v>
      </c>
      <c r="B161" s="4" t="s">
        <v>409</v>
      </c>
      <c r="C161" s="5" t="s">
        <v>352</v>
      </c>
      <c r="D161" s="5">
        <v>28</v>
      </c>
      <c r="E161" s="5" t="str">
        <f>_xlfn.TEXTJOIN("+",TRUE,Table1[[#This Row],[Snapshot]:[ID]])</f>
        <v>46275+DIR-518C8DA26EAA</v>
      </c>
      <c r="F161" s="5"/>
      <c r="G161" s="5" t="s">
        <v>1638</v>
      </c>
      <c r="H161" s="20" t="s">
        <v>1639</v>
      </c>
      <c r="I161" s="5" t="s">
        <v>120</v>
      </c>
      <c r="J161" s="4" t="s">
        <v>30</v>
      </c>
      <c r="K161" s="4" t="str" cm="1">
        <f t="array" ref="K16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15. Mua sắm và Quản lý Nhà cung cấp</v>
      </c>
      <c r="L161" s="4" t="s">
        <v>352</v>
      </c>
      <c r="M161" s="4" t="s">
        <v>410</v>
      </c>
      <c r="N161" s="4" t="s">
        <v>1702</v>
      </c>
      <c r="O161" s="4" t="s">
        <v>32</v>
      </c>
      <c r="P161" s="6">
        <v>46242</v>
      </c>
      <c r="Q161" s="6">
        <v>46242</v>
      </c>
      <c r="R161" s="5">
        <v>1</v>
      </c>
      <c r="S161" s="5" t="s">
        <v>33</v>
      </c>
      <c r="T161" s="13">
        <v>46265</v>
      </c>
      <c r="U161" s="13">
        <v>46265</v>
      </c>
      <c r="V161" s="5">
        <v>0</v>
      </c>
      <c r="W161" s="22">
        <f>_xlfn.LET(
_xlpm.H,Table1[[#This Row],[Thời hạn mới nhất (Date)]],
_xlpm.S,Table1[[#This Row],[Snapshot]],
IF(
    ISNUMBER(_xlpm.H),
    INT(_xlpm.H)-INT(_xlpm.S),
    "Không giao thời hạn"
))</f>
        <v>-10</v>
      </c>
      <c r="X161" s="4" t="s">
        <v>411</v>
      </c>
      <c r="Y161" s="5"/>
      <c r="Z161" s="5" t="s">
        <v>35</v>
      </c>
      <c r="AA161" s="5"/>
      <c r="AB161" s="4"/>
      <c r="AC161" s="6"/>
      <c r="AD161" s="6"/>
      <c r="AE161" s="4">
        <v>0</v>
      </c>
      <c r="AF161" s="26" t="str">
        <f>_xlfn.LET(
_xlpm.H,Table1[[#This Row],[Thời hạn mới nhất (Date)]],
_xlpm.D,Table1[[#This Row],[Dự kiến mới nhất (Date)]],
IF(
NOT(ISNUMBER(_xlpm.H)),"Không giao thời hạn",
IF(
NOT(ISNUMBER(_xlpm.D)),"Chưa có dự kiến",
_xlpm.D-_xlpm.H
)))</f>
        <v>Chưa có dự kiến</v>
      </c>
    </row>
    <row r="162" spans="1:32" ht="131.15" x14ac:dyDescent="0.4">
      <c r="A162" s="44">
        <v>46282</v>
      </c>
      <c r="B162" s="4" t="s">
        <v>68</v>
      </c>
      <c r="C162" s="5" t="s">
        <v>44</v>
      </c>
      <c r="D162" s="5">
        <v>17</v>
      </c>
      <c r="E162" s="5" t="str">
        <f>_xlfn.TEXTJOIN("+",TRUE,Table1[[#This Row],[Snapshot]:[ID]])</f>
        <v>46282+DIR-52A6E8B1DD3B</v>
      </c>
      <c r="F162" s="5"/>
      <c r="G162" s="5" t="s">
        <v>1302</v>
      </c>
      <c r="H162" s="20" t="s">
        <v>1303</v>
      </c>
      <c r="I162" s="5" t="s">
        <v>69</v>
      </c>
      <c r="J162" s="4" t="s">
        <v>30</v>
      </c>
      <c r="K162" s="4" t="str" cm="1">
        <f t="array" ref="K16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162" s="4" t="s">
        <v>44</v>
      </c>
      <c r="M162" s="4" t="s">
        <v>70</v>
      </c>
      <c r="N162" s="4" t="s">
        <v>1703</v>
      </c>
      <c r="O162" s="4" t="s">
        <v>71</v>
      </c>
      <c r="P162" s="6">
        <v>46235</v>
      </c>
      <c r="Q162" s="6">
        <v>46235</v>
      </c>
      <c r="R162" s="5">
        <v>1</v>
      </c>
      <c r="S162" s="5" t="s">
        <v>72</v>
      </c>
      <c r="T162" s="13">
        <v>46264</v>
      </c>
      <c r="U162" s="13">
        <v>46264</v>
      </c>
      <c r="V162" s="5">
        <v>0</v>
      </c>
      <c r="W162" s="22">
        <f>_xlfn.LET(
_xlpm.H,Table1[[#This Row],[Thời hạn mới nhất (Date)]],
_xlpm.S,Table1[[#This Row],[Snapshot]],
IF(
    ISNUMBER(_xlpm.H),
    INT(_xlpm.H)-INT(_xlpm.S),
    "Không giao thời hạn"
))</f>
        <v>-18</v>
      </c>
      <c r="X162" s="4" t="s">
        <v>73</v>
      </c>
      <c r="Y162" s="5"/>
      <c r="Z162" s="5" t="s">
        <v>35</v>
      </c>
      <c r="AA162" s="5"/>
      <c r="AB162" s="4"/>
      <c r="AC162" s="6"/>
      <c r="AD162" s="6"/>
      <c r="AE162" s="4">
        <v>0</v>
      </c>
      <c r="AF162" s="26" t="str">
        <f>_xlfn.LET(
_xlpm.H,Table1[[#This Row],[Thời hạn mới nhất (Date)]],
_xlpm.D,Table1[[#This Row],[Dự kiến mới nhất (Date)]],
IF(
NOT(ISNUMBER(_xlpm.H)),"Không giao thời hạn",
IF(
NOT(ISNUMBER(_xlpm.D)),"Chưa có dự kiến",
_xlpm.D-_xlpm.H
)))</f>
        <v>Chưa có dự kiến</v>
      </c>
    </row>
    <row r="163" spans="1:32" ht="131.15" x14ac:dyDescent="0.4">
      <c r="A163" s="44">
        <v>46275</v>
      </c>
      <c r="B163" s="4" t="s">
        <v>68</v>
      </c>
      <c r="C163" s="5" t="s">
        <v>44</v>
      </c>
      <c r="D163" s="5">
        <v>17</v>
      </c>
      <c r="E163" s="5" t="str">
        <f>_xlfn.TEXTJOIN("+",TRUE,Table1[[#This Row],[Snapshot]:[ID]])</f>
        <v>46275+DIR-52A6E8B1DD3B</v>
      </c>
      <c r="F163" s="5"/>
      <c r="G163" s="5" t="s">
        <v>1304</v>
      </c>
      <c r="H163" s="20" t="s">
        <v>1305</v>
      </c>
      <c r="I163" s="5" t="s">
        <v>69</v>
      </c>
      <c r="J163" s="4" t="s">
        <v>30</v>
      </c>
      <c r="K163" s="4" t="str" cm="1">
        <f t="array" ref="K16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163" s="4" t="s">
        <v>44</v>
      </c>
      <c r="M163" s="4" t="s">
        <v>70</v>
      </c>
      <c r="N163" s="4" t="s">
        <v>1703</v>
      </c>
      <c r="O163" s="4" t="s">
        <v>71</v>
      </c>
      <c r="P163" s="6">
        <v>46235</v>
      </c>
      <c r="Q163" s="6">
        <v>46235</v>
      </c>
      <c r="R163" s="5">
        <v>1</v>
      </c>
      <c r="S163" s="5" t="s">
        <v>72</v>
      </c>
      <c r="T163" s="13">
        <v>46264</v>
      </c>
      <c r="U163" s="13">
        <v>46264</v>
      </c>
      <c r="V163" s="5">
        <v>0</v>
      </c>
      <c r="W163" s="22">
        <f>_xlfn.LET(
_xlpm.H,Table1[[#This Row],[Thời hạn mới nhất (Date)]],
_xlpm.S,Table1[[#This Row],[Snapshot]],
IF(
    ISNUMBER(_xlpm.H),
    INT(_xlpm.H)-INT(_xlpm.S),
    "Không giao thời hạn"
))</f>
        <v>-11</v>
      </c>
      <c r="X163" s="4" t="s">
        <v>73</v>
      </c>
      <c r="Y163" s="5"/>
      <c r="Z163" s="5" t="s">
        <v>35</v>
      </c>
      <c r="AA163" s="5"/>
      <c r="AB163" s="4"/>
      <c r="AC163" s="6"/>
      <c r="AD163" s="6"/>
      <c r="AE163" s="4">
        <v>0</v>
      </c>
      <c r="AF163" s="26" t="str">
        <f>_xlfn.LET(
_xlpm.H,Table1[[#This Row],[Thời hạn mới nhất (Date)]],
_xlpm.D,Table1[[#This Row],[Dự kiến mới nhất (Date)]],
IF(
NOT(ISNUMBER(_xlpm.H)),"Không giao thời hạn",
IF(
NOT(ISNUMBER(_xlpm.D)),"Chưa có dự kiến",
_xlpm.D-_xlpm.H
)))</f>
        <v>Chưa có dự kiến</v>
      </c>
    </row>
    <row r="164" spans="1:32" ht="174.9" x14ac:dyDescent="0.4">
      <c r="A164" s="44">
        <v>46282</v>
      </c>
      <c r="B164" s="4" t="s">
        <v>665</v>
      </c>
      <c r="C164" s="5" t="s">
        <v>607</v>
      </c>
      <c r="D164" s="5">
        <v>32</v>
      </c>
      <c r="E164" s="5" t="str">
        <f>_xlfn.TEXTJOIN("+",TRUE,Table1[[#This Row],[Snapshot]:[ID]])</f>
        <v>46282+DIR-53F86D6ED566</v>
      </c>
      <c r="F164" s="5"/>
      <c r="G164" s="5" t="s">
        <v>1396</v>
      </c>
      <c r="H164" s="20" t="s">
        <v>1397</v>
      </c>
      <c r="I164" s="5" t="s">
        <v>75</v>
      </c>
      <c r="J164" s="4" t="s">
        <v>200</v>
      </c>
      <c r="K164" s="4" t="str" cm="1">
        <f t="array" ref="K16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164" s="4" t="s">
        <v>607</v>
      </c>
      <c r="M164" s="4" t="s">
        <v>666</v>
      </c>
      <c r="N164" s="4" t="s">
        <v>1700</v>
      </c>
      <c r="O164" s="4" t="s">
        <v>209</v>
      </c>
      <c r="P164" s="6">
        <v>46081</v>
      </c>
      <c r="Q164" s="6">
        <v>46081</v>
      </c>
      <c r="R164" s="5">
        <v>1</v>
      </c>
      <c r="S164" s="5"/>
      <c r="T164" s="13"/>
      <c r="U164" s="13"/>
      <c r="V164" s="5">
        <v>0</v>
      </c>
      <c r="W164" s="22" t="str">
        <f>_xlfn.LET(
_xlpm.H,Table1[[#This Row],[Thời hạn mới nhất (Date)]],
_xlpm.S,Table1[[#This Row],[Snapshot]],
IF(
    ISNUMBER(_xlpm.H),
    INT(_xlpm.H)-INT(_xlpm.S),
    "Không giao thời hạn"
))</f>
        <v>Không giao thời hạn</v>
      </c>
      <c r="X164" s="4" t="s">
        <v>667</v>
      </c>
      <c r="Y164" s="5"/>
      <c r="Z164" s="5" t="s">
        <v>35</v>
      </c>
      <c r="AA164" s="5"/>
      <c r="AB164" s="4" t="s">
        <v>50</v>
      </c>
      <c r="AC164" s="6"/>
      <c r="AD164" s="6"/>
      <c r="AE164" s="4">
        <v>0</v>
      </c>
      <c r="AF164" s="26" t="str">
        <f>_xlfn.LET(
_xlpm.H,Table1[[#This Row],[Thời hạn mới nhất (Date)]],
_xlpm.D,Table1[[#This Row],[Dự kiến mới nhất (Date)]],
IF(
NOT(ISNUMBER(_xlpm.H)),"Không giao thời hạn",
IF(
NOT(ISNUMBER(_xlpm.D)),"Chưa có dự kiến",
_xlpm.D-_xlpm.H
)))</f>
        <v>Không giao thời hạn</v>
      </c>
    </row>
    <row r="165" spans="1:32" ht="160.30000000000001" x14ac:dyDescent="0.4">
      <c r="A165" s="44">
        <v>46275</v>
      </c>
      <c r="B165" s="4" t="s">
        <v>665</v>
      </c>
      <c r="C165" s="5" t="s">
        <v>607</v>
      </c>
      <c r="D165" s="5">
        <v>32</v>
      </c>
      <c r="E165" s="5" t="str">
        <f>_xlfn.TEXTJOIN("+",TRUE,Table1[[#This Row],[Snapshot]:[ID]])</f>
        <v>46275+DIR-53F86D6ED566</v>
      </c>
      <c r="F165" s="5"/>
      <c r="G165" s="5" t="s">
        <v>1398</v>
      </c>
      <c r="H165" s="20" t="s">
        <v>1399</v>
      </c>
      <c r="I165" s="5" t="s">
        <v>75</v>
      </c>
      <c r="J165" s="4" t="s">
        <v>200</v>
      </c>
      <c r="K165" s="4" t="str" cm="1">
        <f t="array" ref="K16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165" s="4" t="s">
        <v>607</v>
      </c>
      <c r="M165" s="4" t="s">
        <v>666</v>
      </c>
      <c r="N165" s="4" t="s">
        <v>1700</v>
      </c>
      <c r="O165" s="4" t="s">
        <v>209</v>
      </c>
      <c r="P165" s="6">
        <v>46081</v>
      </c>
      <c r="Q165" s="6">
        <v>46081</v>
      </c>
      <c r="R165" s="5">
        <v>1</v>
      </c>
      <c r="S165" s="5"/>
      <c r="T165" s="13"/>
      <c r="U165" s="13"/>
      <c r="V165" s="5">
        <v>0</v>
      </c>
      <c r="W165" s="22" t="str">
        <f>_xlfn.LET(
_xlpm.H,Table1[[#This Row],[Thời hạn mới nhất (Date)]],
_xlpm.S,Table1[[#This Row],[Snapshot]],
IF(
    ISNUMBER(_xlpm.H),
    INT(_xlpm.H)-INT(_xlpm.S),
    "Không giao thời hạn"
))</f>
        <v>Không giao thời hạn</v>
      </c>
      <c r="X165" s="4" t="s">
        <v>667</v>
      </c>
      <c r="Y165" s="5"/>
      <c r="Z165" s="5" t="s">
        <v>35</v>
      </c>
      <c r="AA165" s="5"/>
      <c r="AB165" s="4" t="s">
        <v>50</v>
      </c>
      <c r="AC165" s="6"/>
      <c r="AD165" s="6"/>
      <c r="AE165" s="4">
        <v>0</v>
      </c>
      <c r="AF165" s="26" t="str">
        <f>_xlfn.LET(
_xlpm.H,Table1[[#This Row],[Thời hạn mới nhất (Date)]],
_xlpm.D,Table1[[#This Row],[Dự kiến mới nhất (Date)]],
IF(
NOT(ISNUMBER(_xlpm.H)),"Không giao thời hạn",
IF(
NOT(ISNUMBER(_xlpm.D)),"Chưa có dự kiến",
_xlpm.D-_xlpm.H
)))</f>
        <v>Không giao thời hạn</v>
      </c>
    </row>
    <row r="166" spans="1:32" ht="306" x14ac:dyDescent="0.4">
      <c r="A166" s="44">
        <v>46282</v>
      </c>
      <c r="B166" s="4" t="s">
        <v>537</v>
      </c>
      <c r="C166" s="5" t="s">
        <v>532</v>
      </c>
      <c r="D166" s="5">
        <v>14</v>
      </c>
      <c r="E166" s="5" t="str">
        <f>_xlfn.TEXTJOIN("+",TRUE,Table1[[#This Row],[Snapshot]:[ID]])</f>
        <v>46282+DIR-5409F18A4936</v>
      </c>
      <c r="F166" s="5"/>
      <c r="G166" s="20" t="s">
        <v>1196</v>
      </c>
      <c r="H166" s="20" t="s">
        <v>1195</v>
      </c>
      <c r="I166" s="5" t="s">
        <v>52</v>
      </c>
      <c r="J166" s="4" t="s">
        <v>30</v>
      </c>
      <c r="K166" s="4" t="str" cm="1">
        <f t="array" ref="K16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66" s="4" t="s">
        <v>532</v>
      </c>
      <c r="M166" s="4" t="s">
        <v>538</v>
      </c>
      <c r="N166" s="4" t="s">
        <v>1717</v>
      </c>
      <c r="O166" s="4" t="s">
        <v>539</v>
      </c>
      <c r="P166" s="6">
        <v>45933</v>
      </c>
      <c r="Q166" s="6">
        <v>46167</v>
      </c>
      <c r="R166" s="5">
        <v>5</v>
      </c>
      <c r="S166" s="5" t="s">
        <v>540</v>
      </c>
      <c r="T166" s="13">
        <v>46172</v>
      </c>
      <c r="U166" s="13">
        <v>46172</v>
      </c>
      <c r="V166" s="5">
        <v>0</v>
      </c>
      <c r="W166" s="22">
        <f>_xlfn.LET(
_xlpm.H,Table1[[#This Row],[Thời hạn mới nhất (Date)]],
_xlpm.S,Table1[[#This Row],[Snapshot]],
IF(
    ISNUMBER(_xlpm.H),
    INT(_xlpm.H)-INT(_xlpm.S),
    "Không giao thời hạn"
))</f>
        <v>-110</v>
      </c>
      <c r="X166" s="4" t="s">
        <v>947</v>
      </c>
      <c r="Y166" s="5"/>
      <c r="Z166" s="5"/>
      <c r="AA166" s="5" t="s">
        <v>35</v>
      </c>
      <c r="AB166" s="4" t="s">
        <v>182</v>
      </c>
      <c r="AC166" s="6">
        <v>46265</v>
      </c>
      <c r="AD166" s="6">
        <v>46295</v>
      </c>
      <c r="AE166" s="4">
        <v>1</v>
      </c>
      <c r="AF166" s="26">
        <f>_xlfn.LET(
_xlpm.H,Table1[[#This Row],[Thời hạn mới nhất (Date)]],
_xlpm.D,Table1[[#This Row],[Dự kiến mới nhất (Date)]],
IF(
NOT(ISNUMBER(_xlpm.H)),"Không giao thời hạn",
IF(
NOT(ISNUMBER(_xlpm.D)),"Chưa có dự kiến",
_xlpm.D-_xlpm.H
)))</f>
        <v>123</v>
      </c>
    </row>
    <row r="167" spans="1:32" ht="409.6" x14ac:dyDescent="0.4">
      <c r="A167" s="44">
        <v>46275</v>
      </c>
      <c r="B167" s="4" t="s">
        <v>537</v>
      </c>
      <c r="C167" s="5" t="s">
        <v>532</v>
      </c>
      <c r="D167" s="5">
        <v>14</v>
      </c>
      <c r="E167" s="5" t="str">
        <f>_xlfn.TEXTJOIN("+",TRUE,Table1[[#This Row],[Snapshot]:[ID]])</f>
        <v>46275+DIR-5409F18A4936</v>
      </c>
      <c r="F167" s="5"/>
      <c r="G167" s="20" t="s">
        <v>1197</v>
      </c>
      <c r="H167" s="20" t="s">
        <v>1198</v>
      </c>
      <c r="I167" s="5" t="s">
        <v>52</v>
      </c>
      <c r="J167" s="4" t="s">
        <v>30</v>
      </c>
      <c r="K167" s="4" t="str" cm="1">
        <f t="array" ref="K16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67" s="4" t="s">
        <v>532</v>
      </c>
      <c r="M167" s="4" t="s">
        <v>538</v>
      </c>
      <c r="N167" s="4" t="s">
        <v>1717</v>
      </c>
      <c r="O167" s="4" t="s">
        <v>539</v>
      </c>
      <c r="P167" s="6">
        <v>45933</v>
      </c>
      <c r="Q167" s="6">
        <v>46167</v>
      </c>
      <c r="R167" s="5">
        <v>5</v>
      </c>
      <c r="S167" s="5" t="s">
        <v>540</v>
      </c>
      <c r="T167" s="13">
        <v>46172</v>
      </c>
      <c r="U167" s="13">
        <v>46172</v>
      </c>
      <c r="V167" s="5">
        <v>0</v>
      </c>
      <c r="W167" s="22">
        <f>_xlfn.LET(
_xlpm.H,Table1[[#This Row],[Thời hạn mới nhất (Date)]],
_xlpm.S,Table1[[#This Row],[Snapshot]],
IF(
    ISNUMBER(_xlpm.H),
    INT(_xlpm.H)-INT(_xlpm.S),
    "Không giao thời hạn"
))</f>
        <v>-103</v>
      </c>
      <c r="X167" s="4" t="s">
        <v>541</v>
      </c>
      <c r="Y167" s="5"/>
      <c r="Z167" s="5"/>
      <c r="AA167" s="5" t="s">
        <v>35</v>
      </c>
      <c r="AB167" s="4" t="s">
        <v>82</v>
      </c>
      <c r="AC167" s="6">
        <v>46265</v>
      </c>
      <c r="AD167" s="6">
        <v>46265</v>
      </c>
      <c r="AE167" s="4">
        <v>0</v>
      </c>
      <c r="AF167" s="26">
        <f>_xlfn.LET(
_xlpm.H,Table1[[#This Row],[Thời hạn mới nhất (Date)]],
_xlpm.D,Table1[[#This Row],[Dự kiến mới nhất (Date)]],
IF(
NOT(ISNUMBER(_xlpm.H)),"Không giao thời hạn",
IF(
NOT(ISNUMBER(_xlpm.D)),"Chưa có dự kiến",
_xlpm.D-_xlpm.H
)))</f>
        <v>93</v>
      </c>
    </row>
    <row r="168" spans="1:32" ht="43.75" x14ac:dyDescent="0.4">
      <c r="A168" s="44">
        <v>46282</v>
      </c>
      <c r="B168" s="4" t="s">
        <v>242</v>
      </c>
      <c r="C168" s="5" t="s">
        <v>44</v>
      </c>
      <c r="D168" s="5">
        <v>56</v>
      </c>
      <c r="E168" s="5" t="str">
        <f>_xlfn.TEXTJOIN("+",TRUE,Table1[[#This Row],[Snapshot]:[ID]])</f>
        <v>46282+DIR-55BBDCD120A2</v>
      </c>
      <c r="F168" s="5"/>
      <c r="G168" s="5" t="s">
        <v>1299</v>
      </c>
      <c r="H168" s="20" t="s">
        <v>1299</v>
      </c>
      <c r="I168" s="5" t="s">
        <v>52</v>
      </c>
      <c r="J168" s="4" t="s">
        <v>200</v>
      </c>
      <c r="K168" s="4" t="str" cm="1">
        <f t="array" ref="K16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22. Kết nối Số, Thu hộ và Dịch vụ Thanh toán</v>
      </c>
      <c r="L168" s="4" t="s">
        <v>44</v>
      </c>
      <c r="M168" s="4" t="s">
        <v>243</v>
      </c>
      <c r="N168" s="4" t="s">
        <v>1703</v>
      </c>
      <c r="O168" s="4" t="s">
        <v>244</v>
      </c>
      <c r="P168" s="6">
        <v>45913</v>
      </c>
      <c r="Q168" s="6">
        <v>45913</v>
      </c>
      <c r="R168" s="5">
        <v>1</v>
      </c>
      <c r="S168" s="5"/>
      <c r="T168" s="13"/>
      <c r="U168" s="13"/>
      <c r="V168" s="5">
        <v>0</v>
      </c>
      <c r="W168" s="22" t="str">
        <f>_xlfn.LET(
_xlpm.H,Table1[[#This Row],[Thời hạn mới nhất (Date)]],
_xlpm.S,Table1[[#This Row],[Snapshot]],
IF(
    ISNUMBER(_xlpm.H),
    INT(_xlpm.H)-INT(_xlpm.S),
    "Không giao thời hạn"
))</f>
        <v>Không giao thời hạn</v>
      </c>
      <c r="X168" s="4" t="s">
        <v>245</v>
      </c>
      <c r="Y168" s="5"/>
      <c r="Z168" s="5" t="s">
        <v>35</v>
      </c>
      <c r="AA168" s="5"/>
      <c r="AB168" s="4" t="s">
        <v>246</v>
      </c>
      <c r="AC168" s="6"/>
      <c r="AD168" s="6"/>
      <c r="AE168" s="4">
        <v>0</v>
      </c>
      <c r="AF168" s="26" t="str">
        <f>_xlfn.LET(
_xlpm.H,Table1[[#This Row],[Thời hạn mới nhất (Date)]],
_xlpm.D,Table1[[#This Row],[Dự kiến mới nhất (Date)]],
IF(
NOT(ISNUMBER(_xlpm.H)),"Không giao thời hạn",
IF(
NOT(ISNUMBER(_xlpm.D)),"Chưa có dự kiến",
_xlpm.D-_xlpm.H
)))</f>
        <v>Không giao thời hạn</v>
      </c>
    </row>
    <row r="169" spans="1:32" ht="43.75" x14ac:dyDescent="0.4">
      <c r="A169" s="44">
        <v>46275</v>
      </c>
      <c r="B169" s="4" t="s">
        <v>242</v>
      </c>
      <c r="C169" s="5" t="s">
        <v>44</v>
      </c>
      <c r="D169" s="5">
        <v>57</v>
      </c>
      <c r="E169" s="5" t="str">
        <f>_xlfn.TEXTJOIN("+",TRUE,Table1[[#This Row],[Snapshot]:[ID]])</f>
        <v>46275+DIR-55BBDCD120A2</v>
      </c>
      <c r="F169" s="5"/>
      <c r="G169" s="5" t="s">
        <v>1299</v>
      </c>
      <c r="H169" s="20" t="s">
        <v>1299</v>
      </c>
      <c r="I169" s="5" t="s">
        <v>52</v>
      </c>
      <c r="J169" s="4" t="s">
        <v>200</v>
      </c>
      <c r="K169" s="4" t="str" cm="1">
        <f t="array" ref="K16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22. Kết nối Số, Thu hộ và Dịch vụ Thanh toán</v>
      </c>
      <c r="L169" s="4" t="s">
        <v>44</v>
      </c>
      <c r="M169" s="4" t="s">
        <v>243</v>
      </c>
      <c r="N169" s="4" t="s">
        <v>1703</v>
      </c>
      <c r="O169" s="4" t="s">
        <v>244</v>
      </c>
      <c r="P169" s="6">
        <v>45913</v>
      </c>
      <c r="Q169" s="6">
        <v>45913</v>
      </c>
      <c r="R169" s="5">
        <v>1</v>
      </c>
      <c r="S169" s="5"/>
      <c r="T169" s="13"/>
      <c r="U169" s="13"/>
      <c r="V169" s="5">
        <v>0</v>
      </c>
      <c r="W169" s="22" t="str">
        <f>_xlfn.LET(
_xlpm.H,Table1[[#This Row],[Thời hạn mới nhất (Date)]],
_xlpm.S,Table1[[#This Row],[Snapshot]],
IF(
    ISNUMBER(_xlpm.H),
    INT(_xlpm.H)-INT(_xlpm.S),
    "Không giao thời hạn"
))</f>
        <v>Không giao thời hạn</v>
      </c>
      <c r="X169" s="4" t="s">
        <v>245</v>
      </c>
      <c r="Y169" s="5"/>
      <c r="Z169" s="5" t="s">
        <v>35</v>
      </c>
      <c r="AA169" s="5"/>
      <c r="AB169" s="4" t="s">
        <v>246</v>
      </c>
      <c r="AC169" s="6"/>
      <c r="AD169" s="6"/>
      <c r="AE169" s="4">
        <v>0</v>
      </c>
      <c r="AF169" s="26" t="str">
        <f>_xlfn.LET(
_xlpm.H,Table1[[#This Row],[Thời hạn mới nhất (Date)]],
_xlpm.D,Table1[[#This Row],[Dự kiến mới nhất (Date)]],
IF(
NOT(ISNUMBER(_xlpm.H)),"Không giao thời hạn",
IF(
NOT(ISNUMBER(_xlpm.D)),"Chưa có dự kiến",
_xlpm.D-_xlpm.H
)))</f>
        <v>Không giao thời hạn</v>
      </c>
    </row>
    <row r="170" spans="1:32" ht="174.9" x14ac:dyDescent="0.4">
      <c r="A170" s="44">
        <v>46282</v>
      </c>
      <c r="B170" s="4" t="s">
        <v>444</v>
      </c>
      <c r="C170" s="5" t="s">
        <v>352</v>
      </c>
      <c r="D170" s="5">
        <v>37</v>
      </c>
      <c r="E170" s="5" t="str">
        <f>_xlfn.TEXTJOIN("+",TRUE,Table1[[#This Row],[Snapshot]:[ID]])</f>
        <v>46282+DIR-57306525102C</v>
      </c>
      <c r="F170" s="5"/>
      <c r="G170" s="20" t="s">
        <v>1199</v>
      </c>
      <c r="H170" s="20" t="s">
        <v>1200</v>
      </c>
      <c r="I170" s="5" t="s">
        <v>57</v>
      </c>
      <c r="J170" s="4" t="s">
        <v>200</v>
      </c>
      <c r="K170" s="4" t="str" cm="1">
        <f t="array" ref="K17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70" s="4" t="s">
        <v>352</v>
      </c>
      <c r="M170" s="4" t="s">
        <v>445</v>
      </c>
      <c r="N170" s="4" t="s">
        <v>1702</v>
      </c>
      <c r="O170" s="4" t="s">
        <v>446</v>
      </c>
      <c r="P170" s="6">
        <v>46038</v>
      </c>
      <c r="Q170" s="6">
        <v>46158</v>
      </c>
      <c r="R170" s="4">
        <v>3</v>
      </c>
      <c r="S170" s="5"/>
      <c r="T170" s="13"/>
      <c r="U170" s="13"/>
      <c r="V170" s="5">
        <v>0</v>
      </c>
      <c r="W170" s="22" t="str">
        <f>_xlfn.LET(
_xlpm.H,Table1[[#This Row],[Thời hạn mới nhất (Date)]],
_xlpm.S,Table1[[#This Row],[Snapshot]],
IF(
    ISNUMBER(_xlpm.H),
    INT(_xlpm.H)-INT(_xlpm.S),
    "Không giao thời hạn"
))</f>
        <v>Không giao thời hạn</v>
      </c>
      <c r="X170" s="4" t="s">
        <v>940</v>
      </c>
      <c r="Y170" s="5"/>
      <c r="Z170" s="5" t="s">
        <v>35</v>
      </c>
      <c r="AA170" s="5"/>
      <c r="AB170" s="4" t="s">
        <v>82</v>
      </c>
      <c r="AC170" s="6">
        <v>46265</v>
      </c>
      <c r="AD170" s="6">
        <v>46265</v>
      </c>
      <c r="AE170" s="4">
        <v>0</v>
      </c>
      <c r="AF170" s="26" t="str">
        <f>_xlfn.LET(
_xlpm.H,Table1[[#This Row],[Thời hạn mới nhất (Date)]],
_xlpm.D,Table1[[#This Row],[Dự kiến mới nhất (Date)]],
IF(
NOT(ISNUMBER(_xlpm.H)),"Không giao thời hạn",
IF(
NOT(ISNUMBER(_xlpm.D)),"Chưa có dự kiến",
_xlpm.D-_xlpm.H
)))</f>
        <v>Không giao thời hạn</v>
      </c>
    </row>
    <row r="171" spans="1:32" ht="174.9" x14ac:dyDescent="0.4">
      <c r="A171" s="44">
        <v>46275</v>
      </c>
      <c r="B171" s="4" t="s">
        <v>444</v>
      </c>
      <c r="C171" s="5" t="s">
        <v>352</v>
      </c>
      <c r="D171" s="5">
        <v>38</v>
      </c>
      <c r="E171" s="5" t="str">
        <f>_xlfn.TEXTJOIN("+",TRUE,Table1[[#This Row],[Snapshot]:[ID]])</f>
        <v>46275+DIR-57306525102C</v>
      </c>
      <c r="F171" s="5"/>
      <c r="G171" s="20" t="s">
        <v>1201</v>
      </c>
      <c r="H171" s="20" t="s">
        <v>1202</v>
      </c>
      <c r="I171" s="5" t="s">
        <v>57</v>
      </c>
      <c r="J171" s="4" t="s">
        <v>200</v>
      </c>
      <c r="K171" s="4" t="str" cm="1">
        <f t="array" ref="K17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71" s="4" t="s">
        <v>352</v>
      </c>
      <c r="M171" s="4" t="s">
        <v>445</v>
      </c>
      <c r="N171" s="4" t="s">
        <v>1702</v>
      </c>
      <c r="O171" s="4" t="s">
        <v>446</v>
      </c>
      <c r="P171" s="6">
        <v>46038</v>
      </c>
      <c r="Q171" s="6">
        <v>46158</v>
      </c>
      <c r="R171" s="4">
        <v>3</v>
      </c>
      <c r="S171" s="5"/>
      <c r="T171" s="13"/>
      <c r="U171" s="13"/>
      <c r="V171" s="5">
        <v>0</v>
      </c>
      <c r="W171" s="22" t="str">
        <f>_xlfn.LET(
_xlpm.H,Table1[[#This Row],[Thời hạn mới nhất (Date)]],
_xlpm.S,Table1[[#This Row],[Snapshot]],
IF(
    ISNUMBER(_xlpm.H),
    INT(_xlpm.H)-INT(_xlpm.S),
    "Không giao thời hạn"
))</f>
        <v>Không giao thời hạn</v>
      </c>
      <c r="X171" s="4" t="s">
        <v>447</v>
      </c>
      <c r="Y171" s="5"/>
      <c r="Z171" s="5" t="s">
        <v>35</v>
      </c>
      <c r="AA171" s="5"/>
      <c r="AB171" s="4" t="s">
        <v>82</v>
      </c>
      <c r="AC171" s="6">
        <v>46265</v>
      </c>
      <c r="AD171" s="6">
        <v>46265</v>
      </c>
      <c r="AE171" s="4">
        <v>0</v>
      </c>
      <c r="AF171" s="26" t="str">
        <f>_xlfn.LET(
_xlpm.H,Table1[[#This Row],[Thời hạn mới nhất (Date)]],
_xlpm.D,Table1[[#This Row],[Dự kiến mới nhất (Date)]],
IF(
NOT(ISNUMBER(_xlpm.H)),"Không giao thời hạn",
IF(
NOT(ISNUMBER(_xlpm.D)),"Chưa có dự kiến",
_xlpm.D-_xlpm.H
)))</f>
        <v>Không giao thời hạn</v>
      </c>
    </row>
    <row r="172" spans="1:32" ht="189.45" x14ac:dyDescent="0.4">
      <c r="A172" s="44">
        <v>46275</v>
      </c>
      <c r="B172" s="4" t="s">
        <v>188</v>
      </c>
      <c r="C172" s="5" t="s">
        <v>44</v>
      </c>
      <c r="D172" s="5">
        <v>41</v>
      </c>
      <c r="E172" s="5" t="str">
        <f>_xlfn.TEXTJOIN("+",TRUE,Table1[[#This Row],[Snapshot]:[ID]])</f>
        <v>46275+DIR-58D07A73F9F7</v>
      </c>
      <c r="F172" s="5"/>
      <c r="G172" s="5" t="s">
        <v>1858</v>
      </c>
      <c r="H172" s="20" t="s">
        <v>1859</v>
      </c>
      <c r="I172" s="5" t="s">
        <v>189</v>
      </c>
      <c r="J172" s="4" t="s">
        <v>30</v>
      </c>
      <c r="K172" s="4" t="str" cm="1">
        <f t="array" ref="K17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172" s="4" t="s">
        <v>44</v>
      </c>
      <c r="M172" s="4" t="s">
        <v>190</v>
      </c>
      <c r="N172" s="4" t="s">
        <v>1703</v>
      </c>
      <c r="O172" s="4" t="s">
        <v>191</v>
      </c>
      <c r="P172" s="13">
        <v>46262</v>
      </c>
      <c r="Q172" s="13">
        <v>46262</v>
      </c>
      <c r="R172" s="5">
        <v>1</v>
      </c>
      <c r="S172" s="5" t="s">
        <v>192</v>
      </c>
      <c r="T172" s="13">
        <v>46295</v>
      </c>
      <c r="U172" s="13">
        <v>46295</v>
      </c>
      <c r="V172" s="5">
        <v>0</v>
      </c>
      <c r="W172" s="22">
        <f>_xlfn.LET(
_xlpm.H,Table1[[#This Row],[Thời hạn mới nhất (Date)]],
_xlpm.S,Table1[[#This Row],[Snapshot]],
IF(
    ISNUMBER(_xlpm.H),
    INT(_xlpm.H)-INT(_xlpm.S),
    "Không giao thời hạn"
))</f>
        <v>20</v>
      </c>
      <c r="X172" s="4" t="s">
        <v>193</v>
      </c>
      <c r="Y172" s="5" t="s">
        <v>194</v>
      </c>
      <c r="Z172" s="5"/>
      <c r="AA172" s="5"/>
      <c r="AB172" s="4"/>
      <c r="AC172" s="6"/>
      <c r="AD172" s="6"/>
      <c r="AE172" s="4">
        <v>0</v>
      </c>
      <c r="AF172" s="26" t="str">
        <f>_xlfn.LET(
_xlpm.H,Table1[[#This Row],[Thời hạn mới nhất (Date)]],
_xlpm.D,Table1[[#This Row],[Dự kiến mới nhất (Date)]],
IF(
NOT(ISNUMBER(_xlpm.H)),"Không giao thời hạn",
IF(
NOT(ISNUMBER(_xlpm.D)),"Chưa có dự kiến",
_xlpm.D-_xlpm.H
)))</f>
        <v>Chưa có dự kiến</v>
      </c>
    </row>
    <row r="173" spans="1:32" ht="174.9" x14ac:dyDescent="0.4">
      <c r="A173" s="44">
        <v>46282</v>
      </c>
      <c r="B173" s="4" t="s">
        <v>425</v>
      </c>
      <c r="C173" s="5" t="s">
        <v>352</v>
      </c>
      <c r="D173" s="5">
        <v>31</v>
      </c>
      <c r="E173" s="5" t="str">
        <f>_xlfn.TEXTJOIN("+",TRUE,Table1[[#This Row],[Snapshot]:[ID]])</f>
        <v>46282+DIR-58FB75DB40D3</v>
      </c>
      <c r="F173" s="5"/>
      <c r="G173" s="5" t="s">
        <v>1860</v>
      </c>
      <c r="H173" s="20" t="s">
        <v>1861</v>
      </c>
      <c r="I173" s="5" t="s">
        <v>135</v>
      </c>
      <c r="J173" s="4" t="s">
        <v>30</v>
      </c>
      <c r="K173" s="4" t="str" cm="1">
        <f t="array" ref="K17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17. Đào tạo và Phát triển Năng lực CBNV</v>
      </c>
      <c r="L173" s="4" t="s">
        <v>352</v>
      </c>
      <c r="M173" s="4" t="s">
        <v>426</v>
      </c>
      <c r="N173" s="4" t="s">
        <v>1702</v>
      </c>
      <c r="O173" s="4" t="s">
        <v>383</v>
      </c>
      <c r="P173" s="6">
        <v>46109</v>
      </c>
      <c r="Q173" s="6">
        <v>46109</v>
      </c>
      <c r="R173" s="5">
        <v>1</v>
      </c>
      <c r="S173" s="5"/>
      <c r="T173" s="13"/>
      <c r="U173" s="13"/>
      <c r="V173" s="5">
        <v>0</v>
      </c>
      <c r="W173" s="22" t="str">
        <f>_xlfn.LET(
_xlpm.H,Table1[[#This Row],[Thời hạn mới nhất (Date)]],
_xlpm.S,Table1[[#This Row],[Snapshot]],
IF(
    ISNUMBER(_xlpm.H),
    INT(_xlpm.H)-INT(_xlpm.S),
    "Không giao thời hạn"
))</f>
        <v>Không giao thời hạn</v>
      </c>
      <c r="X173" s="4" t="s">
        <v>427</v>
      </c>
      <c r="Y173" s="5"/>
      <c r="Z173" s="5" t="s">
        <v>35</v>
      </c>
      <c r="AA173" s="5"/>
      <c r="AB173" s="4"/>
      <c r="AC173" s="6"/>
      <c r="AD173" s="6"/>
      <c r="AE173" s="4">
        <v>0</v>
      </c>
      <c r="AF173" s="26" t="str">
        <f>_xlfn.LET(
_xlpm.H,Table1[[#This Row],[Thời hạn mới nhất (Date)]],
_xlpm.D,Table1[[#This Row],[Dự kiến mới nhất (Date)]],
IF(
NOT(ISNUMBER(_xlpm.H)),"Không giao thời hạn",
IF(
NOT(ISNUMBER(_xlpm.D)),"Chưa có dự kiến",
_xlpm.D-_xlpm.H
)))</f>
        <v>Không giao thời hạn</v>
      </c>
    </row>
    <row r="174" spans="1:32" ht="189.45" x14ac:dyDescent="0.4">
      <c r="A174" s="44">
        <v>46275</v>
      </c>
      <c r="B174" s="4" t="s">
        <v>425</v>
      </c>
      <c r="C174" s="5" t="s">
        <v>352</v>
      </c>
      <c r="D174" s="5">
        <v>32</v>
      </c>
      <c r="E174" s="5" t="str">
        <f>_xlfn.TEXTJOIN("+",TRUE,Table1[[#This Row],[Snapshot]:[ID]])</f>
        <v>46275+DIR-58FB75DB40D3</v>
      </c>
      <c r="F174" s="5"/>
      <c r="G174" s="5" t="s">
        <v>1862</v>
      </c>
      <c r="H174" s="20" t="s">
        <v>1863</v>
      </c>
      <c r="I174" s="5" t="s">
        <v>141</v>
      </c>
      <c r="J174" s="4" t="s">
        <v>30</v>
      </c>
      <c r="K174" s="4" t="str" cm="1">
        <f t="array" ref="K17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17. Đào tạo và Phát triển Năng lực CBNV</v>
      </c>
      <c r="L174" s="4" t="s">
        <v>352</v>
      </c>
      <c r="M174" s="4" t="s">
        <v>426</v>
      </c>
      <c r="N174" s="4" t="s">
        <v>1702</v>
      </c>
      <c r="O174" s="4" t="s">
        <v>383</v>
      </c>
      <c r="P174" s="6">
        <v>46109</v>
      </c>
      <c r="Q174" s="6">
        <v>46109</v>
      </c>
      <c r="R174" s="5">
        <v>1</v>
      </c>
      <c r="S174" s="5"/>
      <c r="T174" s="13"/>
      <c r="U174" s="13"/>
      <c r="V174" s="5">
        <v>0</v>
      </c>
      <c r="W174" s="22" t="str">
        <f>_xlfn.LET(
_xlpm.H,Table1[[#This Row],[Thời hạn mới nhất (Date)]],
_xlpm.S,Table1[[#This Row],[Snapshot]],
IF(
    ISNUMBER(_xlpm.H),
    INT(_xlpm.H)-INT(_xlpm.S),
    "Không giao thời hạn"
))</f>
        <v>Không giao thời hạn</v>
      </c>
      <c r="X174" s="4" t="s">
        <v>427</v>
      </c>
      <c r="Y174" s="5"/>
      <c r="Z174" s="5" t="s">
        <v>35</v>
      </c>
      <c r="AA174" s="5"/>
      <c r="AB174" s="4"/>
      <c r="AC174" s="6"/>
      <c r="AD174" s="6"/>
      <c r="AE174" s="4">
        <v>0</v>
      </c>
      <c r="AF174" s="26" t="str">
        <f>_xlfn.LET(
_xlpm.H,Table1[[#This Row],[Thời hạn mới nhất (Date)]],
_xlpm.D,Table1[[#This Row],[Dự kiến mới nhất (Date)]],
IF(
NOT(ISNUMBER(_xlpm.H)),"Không giao thời hạn",
IF(
NOT(ISNUMBER(_xlpm.D)),"Chưa có dự kiến",
_xlpm.D-_xlpm.H
)))</f>
        <v>Không giao thời hạn</v>
      </c>
    </row>
    <row r="175" spans="1:32" ht="145.75" x14ac:dyDescent="0.4">
      <c r="A175" s="44">
        <v>46282</v>
      </c>
      <c r="B175" s="4" t="s">
        <v>222</v>
      </c>
      <c r="C175" s="5" t="s">
        <v>44</v>
      </c>
      <c r="D175" s="5">
        <v>50</v>
      </c>
      <c r="E175" s="5" t="str">
        <f>_xlfn.TEXTJOIN("+",TRUE,Table1[[#This Row],[Snapshot]:[ID]])</f>
        <v>46282+DIR-5A27C3788501</v>
      </c>
      <c r="F175" s="5"/>
      <c r="G175" s="5" t="s">
        <v>1418</v>
      </c>
      <c r="H175" s="20" t="s">
        <v>1419</v>
      </c>
      <c r="I175" s="5" t="s">
        <v>75</v>
      </c>
      <c r="J175" s="4" t="s">
        <v>200</v>
      </c>
      <c r="K175" s="4" t="str" cm="1">
        <f t="array" ref="K17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175" s="4" t="s">
        <v>44</v>
      </c>
      <c r="M175" s="4" t="s">
        <v>223</v>
      </c>
      <c r="N175" s="4" t="s">
        <v>1703</v>
      </c>
      <c r="O175" s="4" t="s">
        <v>224</v>
      </c>
      <c r="P175" s="6">
        <v>46003</v>
      </c>
      <c r="Q175" s="6">
        <v>46003</v>
      </c>
      <c r="R175" s="5">
        <v>1</v>
      </c>
      <c r="S175" s="5"/>
      <c r="T175" s="13"/>
      <c r="U175" s="13"/>
      <c r="V175" s="5">
        <v>0</v>
      </c>
      <c r="W175" s="22" t="str">
        <f>_xlfn.LET(
_xlpm.H,Table1[[#This Row],[Thời hạn mới nhất (Date)]],
_xlpm.S,Table1[[#This Row],[Snapshot]],
IF(
    ISNUMBER(_xlpm.H),
    INT(_xlpm.H)-INT(_xlpm.S),
    "Không giao thời hạn"
))</f>
        <v>Không giao thời hạn</v>
      </c>
      <c r="X175" s="4" t="s">
        <v>225</v>
      </c>
      <c r="Y175" s="5"/>
      <c r="Z175" s="5" t="s">
        <v>35</v>
      </c>
      <c r="AA175" s="5"/>
      <c r="AB175" s="4" t="s">
        <v>77</v>
      </c>
      <c r="AC175" s="6">
        <v>46295</v>
      </c>
      <c r="AD175" s="6">
        <v>46295</v>
      </c>
      <c r="AE175" s="4">
        <v>0</v>
      </c>
      <c r="AF175" s="26" t="str">
        <f>_xlfn.LET(
_xlpm.H,Table1[[#This Row],[Thời hạn mới nhất (Date)]],
_xlpm.D,Table1[[#This Row],[Dự kiến mới nhất (Date)]],
IF(
NOT(ISNUMBER(_xlpm.H)),"Không giao thời hạn",
IF(
NOT(ISNUMBER(_xlpm.D)),"Chưa có dự kiến",
_xlpm.D-_xlpm.H
)))</f>
        <v>Không giao thời hạn</v>
      </c>
    </row>
    <row r="176" spans="1:32" ht="145.75" x14ac:dyDescent="0.4">
      <c r="A176" s="44">
        <v>46275</v>
      </c>
      <c r="B176" s="4" t="s">
        <v>222</v>
      </c>
      <c r="C176" s="5" t="s">
        <v>44</v>
      </c>
      <c r="D176" s="5">
        <v>51</v>
      </c>
      <c r="E176" s="5" t="str">
        <f>_xlfn.TEXTJOIN("+",TRUE,Table1[[#This Row],[Snapshot]:[ID]])</f>
        <v>46275+DIR-5A27C3788501</v>
      </c>
      <c r="F176" s="5"/>
      <c r="G176" s="5" t="s">
        <v>1420</v>
      </c>
      <c r="H176" s="20" t="s">
        <v>1421</v>
      </c>
      <c r="I176" s="5" t="s">
        <v>75</v>
      </c>
      <c r="J176" s="4" t="s">
        <v>200</v>
      </c>
      <c r="K176" s="4" t="str" cm="1">
        <f t="array" ref="K17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176" s="4" t="s">
        <v>44</v>
      </c>
      <c r="M176" s="4" t="s">
        <v>223</v>
      </c>
      <c r="N176" s="4" t="s">
        <v>1703</v>
      </c>
      <c r="O176" s="4" t="s">
        <v>224</v>
      </c>
      <c r="P176" s="6">
        <v>46003</v>
      </c>
      <c r="Q176" s="6">
        <v>46003</v>
      </c>
      <c r="R176" s="5">
        <v>1</v>
      </c>
      <c r="S176" s="5"/>
      <c r="T176" s="13"/>
      <c r="U176" s="13"/>
      <c r="V176" s="5">
        <v>0</v>
      </c>
      <c r="W176" s="22" t="str">
        <f>_xlfn.LET(
_xlpm.H,Table1[[#This Row],[Thời hạn mới nhất (Date)]],
_xlpm.S,Table1[[#This Row],[Snapshot]],
IF(
    ISNUMBER(_xlpm.H),
    INT(_xlpm.H)-INT(_xlpm.S),
    "Không giao thời hạn"
))</f>
        <v>Không giao thời hạn</v>
      </c>
      <c r="X176" s="4" t="s">
        <v>225</v>
      </c>
      <c r="Y176" s="5"/>
      <c r="Z176" s="5" t="s">
        <v>35</v>
      </c>
      <c r="AA176" s="5"/>
      <c r="AB176" s="4" t="s">
        <v>77</v>
      </c>
      <c r="AC176" s="6">
        <v>46295</v>
      </c>
      <c r="AD176" s="6">
        <v>46295</v>
      </c>
      <c r="AE176" s="4">
        <v>0</v>
      </c>
      <c r="AF176" s="26" t="str">
        <f>_xlfn.LET(
_xlpm.H,Table1[[#This Row],[Thời hạn mới nhất (Date)]],
_xlpm.D,Table1[[#This Row],[Dự kiến mới nhất (Date)]],
IF(
NOT(ISNUMBER(_xlpm.H)),"Không giao thời hạn",
IF(
NOT(ISNUMBER(_xlpm.D)),"Chưa có dự kiến",
_xlpm.D-_xlpm.H
)))</f>
        <v>Không giao thời hạn</v>
      </c>
    </row>
    <row r="177" spans="1:32" ht="174.9" x14ac:dyDescent="0.4">
      <c r="A177" s="44">
        <v>46282</v>
      </c>
      <c r="B177" s="4" t="s">
        <v>448</v>
      </c>
      <c r="C177" s="5" t="s">
        <v>352</v>
      </c>
      <c r="D177" s="5">
        <v>38</v>
      </c>
      <c r="E177" s="5" t="str">
        <f>_xlfn.TEXTJOIN("+",TRUE,Table1[[#This Row],[Snapshot]:[ID]])</f>
        <v>46282+DIR-5A5C83253127</v>
      </c>
      <c r="F177" s="5"/>
      <c r="G177" s="5" t="s">
        <v>1864</v>
      </c>
      <c r="H177" s="20" t="s">
        <v>1865</v>
      </c>
      <c r="I177" s="5" t="s">
        <v>63</v>
      </c>
      <c r="J177" s="4" t="s">
        <v>200</v>
      </c>
      <c r="K177" s="4" t="str" cm="1">
        <f t="array" ref="K17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77" s="4" t="s">
        <v>352</v>
      </c>
      <c r="M177" s="4" t="s">
        <v>449</v>
      </c>
      <c r="N177" s="4" t="s">
        <v>1702</v>
      </c>
      <c r="O177" s="4" t="s">
        <v>258</v>
      </c>
      <c r="P177" s="6">
        <v>46038</v>
      </c>
      <c r="Q177" s="6">
        <v>46038</v>
      </c>
      <c r="R177" s="5">
        <v>1</v>
      </c>
      <c r="S177" s="5"/>
      <c r="T177" s="13"/>
      <c r="U177" s="13"/>
      <c r="V177" s="5">
        <v>0</v>
      </c>
      <c r="W177" s="22" t="str">
        <f>_xlfn.LET(
_xlpm.H,Table1[[#This Row],[Thời hạn mới nhất (Date)]],
_xlpm.S,Table1[[#This Row],[Snapshot]],
IF(
    ISNUMBER(_xlpm.H),
    INT(_xlpm.H)-INT(_xlpm.S),
    "Không giao thời hạn"
))</f>
        <v>Không giao thời hạn</v>
      </c>
      <c r="X177" s="4" t="s">
        <v>941</v>
      </c>
      <c r="Y177" s="5"/>
      <c r="Z177" s="5" t="s">
        <v>35</v>
      </c>
      <c r="AA177" s="5"/>
      <c r="AB177" s="4" t="s">
        <v>82</v>
      </c>
      <c r="AC177" s="6">
        <v>46265</v>
      </c>
      <c r="AD177" s="6">
        <v>46265</v>
      </c>
      <c r="AE177" s="4">
        <v>0</v>
      </c>
      <c r="AF177" s="26" t="str">
        <f>_xlfn.LET(
_xlpm.H,Table1[[#This Row],[Thời hạn mới nhất (Date)]],
_xlpm.D,Table1[[#This Row],[Dự kiến mới nhất (Date)]],
IF(
NOT(ISNUMBER(_xlpm.H)),"Không giao thời hạn",
IF(
NOT(ISNUMBER(_xlpm.D)),"Chưa có dự kiến",
_xlpm.D-_xlpm.H
)))</f>
        <v>Không giao thời hạn</v>
      </c>
    </row>
    <row r="178" spans="1:32" ht="160.30000000000001" x14ac:dyDescent="0.4">
      <c r="A178" s="44">
        <v>46275</v>
      </c>
      <c r="B178" s="4" t="s">
        <v>448</v>
      </c>
      <c r="C178" s="5" t="s">
        <v>352</v>
      </c>
      <c r="D178" s="5">
        <v>39</v>
      </c>
      <c r="E178" s="5" t="str">
        <f>_xlfn.TEXTJOIN("+",TRUE,Table1[[#This Row],[Snapshot]:[ID]])</f>
        <v>46275+DIR-5A5C83253127</v>
      </c>
      <c r="F178" s="5"/>
      <c r="G178" s="5" t="s">
        <v>1866</v>
      </c>
      <c r="H178" s="20" t="s">
        <v>1867</v>
      </c>
      <c r="I178" s="5" t="s">
        <v>63</v>
      </c>
      <c r="J178" s="4" t="s">
        <v>200</v>
      </c>
      <c r="K178" s="4" t="str" cm="1">
        <f t="array" ref="K17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78" s="4" t="s">
        <v>352</v>
      </c>
      <c r="M178" s="4" t="s">
        <v>449</v>
      </c>
      <c r="N178" s="4" t="s">
        <v>1702</v>
      </c>
      <c r="O178" s="4" t="s">
        <v>258</v>
      </c>
      <c r="P178" s="6">
        <v>46038</v>
      </c>
      <c r="Q178" s="6">
        <v>46038</v>
      </c>
      <c r="R178" s="5">
        <v>1</v>
      </c>
      <c r="S178" s="5"/>
      <c r="T178" s="13"/>
      <c r="U178" s="13"/>
      <c r="V178" s="5">
        <v>0</v>
      </c>
      <c r="W178" s="22" t="str">
        <f>_xlfn.LET(
_xlpm.H,Table1[[#This Row],[Thời hạn mới nhất (Date)]],
_xlpm.S,Table1[[#This Row],[Snapshot]],
IF(
    ISNUMBER(_xlpm.H),
    INT(_xlpm.H)-INT(_xlpm.S),
    "Không giao thời hạn"
))</f>
        <v>Không giao thời hạn</v>
      </c>
      <c r="X178" s="4" t="s">
        <v>450</v>
      </c>
      <c r="Y178" s="5"/>
      <c r="Z178" s="5" t="s">
        <v>35</v>
      </c>
      <c r="AA178" s="5"/>
      <c r="AB178" s="4" t="s">
        <v>82</v>
      </c>
      <c r="AC178" s="6">
        <v>46265</v>
      </c>
      <c r="AD178" s="6">
        <v>46265</v>
      </c>
      <c r="AE178" s="4">
        <v>0</v>
      </c>
      <c r="AF178" s="26" t="str">
        <f>_xlfn.LET(
_xlpm.H,Table1[[#This Row],[Thời hạn mới nhất (Date)]],
_xlpm.D,Table1[[#This Row],[Dự kiến mới nhất (Date)]],
IF(
NOT(ISNUMBER(_xlpm.H)),"Không giao thời hạn",
IF(
NOT(ISNUMBER(_xlpm.D)),"Chưa có dự kiến",
_xlpm.D-_xlpm.H
)))</f>
        <v>Không giao thời hạn</v>
      </c>
    </row>
    <row r="179" spans="1:32" ht="58.3" x14ac:dyDescent="0.4">
      <c r="A179" s="44">
        <v>46282</v>
      </c>
      <c r="B179" s="4" t="s">
        <v>819</v>
      </c>
      <c r="C179" s="5" t="s">
        <v>688</v>
      </c>
      <c r="D179" s="5">
        <v>53</v>
      </c>
      <c r="E179" s="5" t="str">
        <f>_xlfn.TEXTJOIN("+",TRUE,Table1[[#This Row],[Snapshot]:[ID]])</f>
        <v>46282+DIR-5A651B0DCD76</v>
      </c>
      <c r="F179" s="5"/>
      <c r="G179" s="5" t="s">
        <v>1300</v>
      </c>
      <c r="H179" s="20" t="s">
        <v>1300</v>
      </c>
      <c r="I179" s="5" t="s">
        <v>808</v>
      </c>
      <c r="J179" s="4" t="s">
        <v>689</v>
      </c>
      <c r="K179" s="4" t="str" cm="1">
        <f t="array" ref="K17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179" s="4" t="s">
        <v>688</v>
      </c>
      <c r="M179" s="4" t="s">
        <v>180</v>
      </c>
      <c r="N179" s="4" t="s">
        <v>1696</v>
      </c>
      <c r="O179" s="4" t="s">
        <v>181</v>
      </c>
      <c r="P179" s="6">
        <v>46270</v>
      </c>
      <c r="Q179" s="6">
        <v>46270</v>
      </c>
      <c r="R179" s="5">
        <v>1</v>
      </c>
      <c r="S179" s="5" t="s">
        <v>182</v>
      </c>
      <c r="T179" s="13">
        <v>46295</v>
      </c>
      <c r="U179" s="13">
        <v>46295</v>
      </c>
      <c r="V179" s="5">
        <v>0</v>
      </c>
      <c r="W179" s="22">
        <f>_xlfn.LET(
_xlpm.H,Table1[[#This Row],[Thời hạn mới nhất (Date)]],
_xlpm.S,Table1[[#This Row],[Snapshot]],
IF(
    ISNUMBER(_xlpm.H),
    INT(_xlpm.H)-INT(_xlpm.S),
    "Không giao thời hạn"
))</f>
        <v>13</v>
      </c>
      <c r="X179" s="4" t="s">
        <v>817</v>
      </c>
      <c r="Y179" s="5"/>
      <c r="Z179" s="5" t="s">
        <v>35</v>
      </c>
      <c r="AA179" s="5"/>
      <c r="AB179" s="4" t="s">
        <v>980</v>
      </c>
      <c r="AC179" s="6">
        <v>46356</v>
      </c>
      <c r="AD179" s="6">
        <v>46356</v>
      </c>
      <c r="AE179" s="4">
        <v>0</v>
      </c>
      <c r="AF179" s="26">
        <f>_xlfn.LET(
_xlpm.H,Table1[[#This Row],[Thời hạn mới nhất (Date)]],
_xlpm.D,Table1[[#This Row],[Dự kiến mới nhất (Date)]],
IF(
NOT(ISNUMBER(_xlpm.H)),"Không giao thời hạn",
IF(
NOT(ISNUMBER(_xlpm.D)),"Chưa có dự kiến",
_xlpm.D-_xlpm.H
)))</f>
        <v>61</v>
      </c>
    </row>
    <row r="180" spans="1:32" ht="58.3" x14ac:dyDescent="0.4">
      <c r="A180" s="44">
        <v>46275</v>
      </c>
      <c r="B180" s="4" t="s">
        <v>819</v>
      </c>
      <c r="C180" s="5" t="s">
        <v>688</v>
      </c>
      <c r="D180" s="5">
        <v>56</v>
      </c>
      <c r="E180" s="5" t="str">
        <f>_xlfn.TEXTJOIN("+",TRUE,Table1[[#This Row],[Snapshot]:[ID]])</f>
        <v>46275+DIR-5A651B0DCD76</v>
      </c>
      <c r="F180" s="5"/>
      <c r="G180" s="5" t="s">
        <v>1300</v>
      </c>
      <c r="H180" s="20" t="s">
        <v>1300</v>
      </c>
      <c r="I180" s="5" t="s">
        <v>820</v>
      </c>
      <c r="J180" s="4" t="s">
        <v>689</v>
      </c>
      <c r="K180" s="4" t="str" cm="1">
        <f t="array" ref="K18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180" s="4" t="s">
        <v>688</v>
      </c>
      <c r="M180" s="4" t="s">
        <v>180</v>
      </c>
      <c r="N180" s="4" t="s">
        <v>1696</v>
      </c>
      <c r="O180" s="4" t="s">
        <v>181</v>
      </c>
      <c r="P180" s="6">
        <v>46270</v>
      </c>
      <c r="Q180" s="6">
        <v>46270</v>
      </c>
      <c r="R180" s="5">
        <v>1</v>
      </c>
      <c r="S180" s="5" t="s">
        <v>182</v>
      </c>
      <c r="T180" s="13">
        <v>46295</v>
      </c>
      <c r="U180" s="13">
        <v>46295</v>
      </c>
      <c r="V180" s="5">
        <v>0</v>
      </c>
      <c r="W180" s="22">
        <f>_xlfn.LET(
_xlpm.H,Table1[[#This Row],[Thời hạn mới nhất (Date)]],
_xlpm.S,Table1[[#This Row],[Snapshot]],
IF(
    ISNUMBER(_xlpm.H),
    INT(_xlpm.H)-INT(_xlpm.S),
    "Không giao thời hạn"
))</f>
        <v>20</v>
      </c>
      <c r="X180" s="4" t="s">
        <v>821</v>
      </c>
      <c r="Y180" s="5"/>
      <c r="Z180" s="5" t="s">
        <v>194</v>
      </c>
      <c r="AA180" s="5"/>
      <c r="AB180" s="4"/>
      <c r="AC180" s="6"/>
      <c r="AD180" s="6"/>
      <c r="AE180" s="4">
        <v>0</v>
      </c>
      <c r="AF180" s="26" t="str">
        <f>_xlfn.LET(
_xlpm.H,Table1[[#This Row],[Thời hạn mới nhất (Date)]],
_xlpm.D,Table1[[#This Row],[Dự kiến mới nhất (Date)]],
IF(
NOT(ISNUMBER(_xlpm.H)),"Không giao thời hạn",
IF(
NOT(ISNUMBER(_xlpm.D)),"Chưa có dự kiến",
_xlpm.D-_xlpm.H
)))</f>
        <v>Chưa có dự kiến</v>
      </c>
    </row>
    <row r="181" spans="1:32" ht="145.75" x14ac:dyDescent="0.4">
      <c r="A181" s="44">
        <v>46282</v>
      </c>
      <c r="B181" s="4" t="s">
        <v>464</v>
      </c>
      <c r="C181" s="5" t="s">
        <v>352</v>
      </c>
      <c r="D181" s="5">
        <v>42</v>
      </c>
      <c r="E181" s="5" t="str">
        <f>_xlfn.TEXTJOIN("+",TRUE,Table1[[#This Row],[Snapshot]:[ID]])</f>
        <v>46282+DIR-5C4DC82FE06F</v>
      </c>
      <c r="F181" s="5"/>
      <c r="G181" s="20" t="s">
        <v>1203</v>
      </c>
      <c r="H181" s="20" t="s">
        <v>1204</v>
      </c>
      <c r="I181" s="5" t="s">
        <v>85</v>
      </c>
      <c r="J181" s="4" t="s">
        <v>200</v>
      </c>
      <c r="K181" s="4" t="str" cm="1">
        <f t="array" ref="K18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17. Đào tạo và Phát triển Năng lực CBNV</v>
      </c>
      <c r="L181" s="4" t="s">
        <v>352</v>
      </c>
      <c r="M181" s="4" t="s">
        <v>465</v>
      </c>
      <c r="N181" s="4" t="s">
        <v>1702</v>
      </c>
      <c r="O181" s="4" t="s">
        <v>466</v>
      </c>
      <c r="P181" s="6">
        <v>45808</v>
      </c>
      <c r="Q181" s="6">
        <v>45899</v>
      </c>
      <c r="R181" s="4">
        <v>3</v>
      </c>
      <c r="S181" s="5"/>
      <c r="T181" s="13"/>
      <c r="U181" s="13"/>
      <c r="V181" s="5">
        <v>0</v>
      </c>
      <c r="W181" s="22" t="str">
        <f>_xlfn.LET(
_xlpm.H,Table1[[#This Row],[Thời hạn mới nhất (Date)]],
_xlpm.S,Table1[[#This Row],[Snapshot]],
IF(
    ISNUMBER(_xlpm.H),
    INT(_xlpm.H)-INT(_xlpm.S),
    "Không giao thời hạn"
))</f>
        <v>Không giao thời hạn</v>
      </c>
      <c r="X181" s="4" t="s">
        <v>467</v>
      </c>
      <c r="Y181" s="5"/>
      <c r="Z181" s="5" t="s">
        <v>35</v>
      </c>
      <c r="AA181" s="5"/>
      <c r="AB181" s="4"/>
      <c r="AC181" s="6"/>
      <c r="AD181" s="6"/>
      <c r="AE181" s="4">
        <v>0</v>
      </c>
      <c r="AF181" s="26" t="str">
        <f>_xlfn.LET(
_xlpm.H,Table1[[#This Row],[Thời hạn mới nhất (Date)]],
_xlpm.D,Table1[[#This Row],[Dự kiến mới nhất (Date)]],
IF(
NOT(ISNUMBER(_xlpm.H)),"Không giao thời hạn",
IF(
NOT(ISNUMBER(_xlpm.D)),"Chưa có dự kiến",
_xlpm.D-_xlpm.H
)))</f>
        <v>Không giao thời hạn</v>
      </c>
    </row>
    <row r="182" spans="1:32" ht="145.75" x14ac:dyDescent="0.4">
      <c r="A182" s="44">
        <v>46275</v>
      </c>
      <c r="B182" s="4" t="s">
        <v>464</v>
      </c>
      <c r="C182" s="5" t="s">
        <v>352</v>
      </c>
      <c r="D182" s="5">
        <v>43</v>
      </c>
      <c r="E182" s="5" t="str">
        <f>_xlfn.TEXTJOIN("+",TRUE,Table1[[#This Row],[Snapshot]:[ID]])</f>
        <v>46275+DIR-5C4DC82FE06F</v>
      </c>
      <c r="F182" s="5"/>
      <c r="G182" s="20" t="s">
        <v>1203</v>
      </c>
      <c r="H182" s="20" t="s">
        <v>1204</v>
      </c>
      <c r="I182" s="5" t="s">
        <v>85</v>
      </c>
      <c r="J182" s="4" t="s">
        <v>200</v>
      </c>
      <c r="K182" s="4" t="str" cm="1">
        <f t="array" ref="K18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17. Đào tạo và Phát triển Năng lực CBNV</v>
      </c>
      <c r="L182" s="4" t="s">
        <v>352</v>
      </c>
      <c r="M182" s="4" t="s">
        <v>465</v>
      </c>
      <c r="N182" s="4" t="s">
        <v>1702</v>
      </c>
      <c r="O182" s="4" t="s">
        <v>466</v>
      </c>
      <c r="P182" s="6">
        <v>45808</v>
      </c>
      <c r="Q182" s="6">
        <v>45899</v>
      </c>
      <c r="R182" s="4">
        <v>3</v>
      </c>
      <c r="S182" s="5"/>
      <c r="T182" s="13"/>
      <c r="U182" s="13"/>
      <c r="V182" s="5">
        <v>0</v>
      </c>
      <c r="W182" s="22" t="str">
        <f>_xlfn.LET(
_xlpm.H,Table1[[#This Row],[Thời hạn mới nhất (Date)]],
_xlpm.S,Table1[[#This Row],[Snapshot]],
IF(
    ISNUMBER(_xlpm.H),
    INT(_xlpm.H)-INT(_xlpm.S),
    "Không giao thời hạn"
))</f>
        <v>Không giao thời hạn</v>
      </c>
      <c r="X182" s="4" t="s">
        <v>467</v>
      </c>
      <c r="Y182" s="5"/>
      <c r="Z182" s="5" t="s">
        <v>35</v>
      </c>
      <c r="AA182" s="5"/>
      <c r="AB182" s="4"/>
      <c r="AC182" s="6"/>
      <c r="AD182" s="6"/>
      <c r="AE182" s="4">
        <v>0</v>
      </c>
      <c r="AF182" s="26" t="str">
        <f>_xlfn.LET(
_xlpm.H,Table1[[#This Row],[Thời hạn mới nhất (Date)]],
_xlpm.D,Table1[[#This Row],[Dự kiến mới nhất (Date)]],
IF(
NOT(ISNUMBER(_xlpm.H)),"Không giao thời hạn",
IF(
NOT(ISNUMBER(_xlpm.D)),"Chưa có dự kiến",
_xlpm.D-_xlpm.H
)))</f>
        <v>Không giao thời hạn</v>
      </c>
    </row>
    <row r="183" spans="1:32" ht="131.15" x14ac:dyDescent="0.4">
      <c r="A183" s="44">
        <v>46282</v>
      </c>
      <c r="B183" s="4" t="s">
        <v>398</v>
      </c>
      <c r="C183" s="5" t="s">
        <v>352</v>
      </c>
      <c r="D183" s="5">
        <v>24</v>
      </c>
      <c r="E183" s="5" t="str">
        <f>_xlfn.TEXTJOIN("+",TRUE,Table1[[#This Row],[Snapshot]:[ID]])</f>
        <v>46282+DIR-5DFF01142316</v>
      </c>
      <c r="F183" s="5"/>
      <c r="G183" s="5" t="s">
        <v>1868</v>
      </c>
      <c r="H183" s="20" t="s">
        <v>1869</v>
      </c>
      <c r="I183" s="5" t="s">
        <v>101</v>
      </c>
      <c r="J183" s="4" t="s">
        <v>30</v>
      </c>
      <c r="K183" s="4" t="str" cm="1">
        <f t="array" ref="K18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83" s="4" t="s">
        <v>352</v>
      </c>
      <c r="M183" s="4" t="s">
        <v>399</v>
      </c>
      <c r="N183" s="4" t="s">
        <v>1702</v>
      </c>
      <c r="O183" s="4" t="s">
        <v>400</v>
      </c>
      <c r="P183" s="6">
        <v>46137</v>
      </c>
      <c r="Q183" s="6">
        <v>46137</v>
      </c>
      <c r="R183" s="5">
        <v>1</v>
      </c>
      <c r="S183" s="5"/>
      <c r="T183" s="13"/>
      <c r="U183" s="13"/>
      <c r="V183" s="5">
        <v>0</v>
      </c>
      <c r="W183" s="22" t="str">
        <f>_xlfn.LET(
_xlpm.H,Table1[[#This Row],[Thời hạn mới nhất (Date)]],
_xlpm.S,Table1[[#This Row],[Snapshot]],
IF(
    ISNUMBER(_xlpm.H),
    INT(_xlpm.H)-INT(_xlpm.S),
    "Không giao thời hạn"
))</f>
        <v>Không giao thời hạn</v>
      </c>
      <c r="X183" s="4" t="s">
        <v>401</v>
      </c>
      <c r="Y183" s="5"/>
      <c r="Z183" s="5" t="s">
        <v>35</v>
      </c>
      <c r="AA183" s="5"/>
      <c r="AB183" s="4" t="s">
        <v>82</v>
      </c>
      <c r="AC183" s="6">
        <v>46265</v>
      </c>
      <c r="AD183" s="6">
        <v>46265</v>
      </c>
      <c r="AE183" s="4">
        <v>0</v>
      </c>
      <c r="AF183" s="26" t="str">
        <f>_xlfn.LET(
_xlpm.H,Table1[[#This Row],[Thời hạn mới nhất (Date)]],
_xlpm.D,Table1[[#This Row],[Dự kiến mới nhất (Date)]],
IF(
NOT(ISNUMBER(_xlpm.H)),"Không giao thời hạn",
IF(
NOT(ISNUMBER(_xlpm.D)),"Chưa có dự kiến",
_xlpm.D-_xlpm.H
)))</f>
        <v>Không giao thời hạn</v>
      </c>
    </row>
    <row r="184" spans="1:32" ht="145.75" x14ac:dyDescent="0.4">
      <c r="A184" s="44">
        <v>46275</v>
      </c>
      <c r="B184" s="4" t="s">
        <v>398</v>
      </c>
      <c r="C184" s="5" t="s">
        <v>352</v>
      </c>
      <c r="D184" s="5">
        <v>25</v>
      </c>
      <c r="E184" s="5" t="str">
        <f>_xlfn.TEXTJOIN("+",TRUE,Table1[[#This Row],[Snapshot]:[ID]])</f>
        <v>46275+DIR-5DFF01142316</v>
      </c>
      <c r="F184" s="5"/>
      <c r="G184" s="5" t="s">
        <v>1870</v>
      </c>
      <c r="H184" s="20" t="s">
        <v>1871</v>
      </c>
      <c r="I184" s="5" t="s">
        <v>106</v>
      </c>
      <c r="J184" s="4" t="s">
        <v>30</v>
      </c>
      <c r="K184" s="4" t="str" cm="1">
        <f t="array" ref="K18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184" s="4" t="s">
        <v>352</v>
      </c>
      <c r="M184" s="4" t="s">
        <v>399</v>
      </c>
      <c r="N184" s="4" t="s">
        <v>1702</v>
      </c>
      <c r="O184" s="4" t="s">
        <v>400</v>
      </c>
      <c r="P184" s="6">
        <v>46137</v>
      </c>
      <c r="Q184" s="6">
        <v>46137</v>
      </c>
      <c r="R184" s="5">
        <v>1</v>
      </c>
      <c r="S184" s="5"/>
      <c r="T184" s="13"/>
      <c r="U184" s="13"/>
      <c r="V184" s="5">
        <v>0</v>
      </c>
      <c r="W184" s="22" t="str">
        <f>_xlfn.LET(
_xlpm.H,Table1[[#This Row],[Thời hạn mới nhất (Date)]],
_xlpm.S,Table1[[#This Row],[Snapshot]],
IF(
    ISNUMBER(_xlpm.H),
    INT(_xlpm.H)-INT(_xlpm.S),
    "Không giao thời hạn"
))</f>
        <v>Không giao thời hạn</v>
      </c>
      <c r="X184" s="4" t="s">
        <v>401</v>
      </c>
      <c r="Y184" s="5"/>
      <c r="Z184" s="5" t="s">
        <v>35</v>
      </c>
      <c r="AA184" s="5"/>
      <c r="AB184" s="4" t="s">
        <v>82</v>
      </c>
      <c r="AC184" s="6">
        <v>46265</v>
      </c>
      <c r="AD184" s="6">
        <v>46265</v>
      </c>
      <c r="AE184" s="4">
        <v>0</v>
      </c>
      <c r="AF184" s="26" t="str">
        <f>_xlfn.LET(
_xlpm.H,Table1[[#This Row],[Thời hạn mới nhất (Date)]],
_xlpm.D,Table1[[#This Row],[Dự kiến mới nhất (Date)]],
IF(
NOT(ISNUMBER(_xlpm.H)),"Không giao thời hạn",
IF(
NOT(ISNUMBER(_xlpm.D)),"Chưa có dự kiến",
_xlpm.D-_xlpm.H
)))</f>
        <v>Không giao thời hạn</v>
      </c>
    </row>
    <row r="185" spans="1:32" ht="160.30000000000001" x14ac:dyDescent="0.4">
      <c r="A185" s="44">
        <v>46282</v>
      </c>
      <c r="B185" s="4" t="s">
        <v>675</v>
      </c>
      <c r="C185" s="5" t="s">
        <v>607</v>
      </c>
      <c r="D185" s="5">
        <v>35</v>
      </c>
      <c r="E185" s="5" t="str">
        <f>_xlfn.TEXTJOIN("+",TRUE,Table1[[#This Row],[Snapshot]:[ID]])</f>
        <v>46282+DIR-5F47D1AFB824</v>
      </c>
      <c r="F185" s="5"/>
      <c r="G185" s="20" t="s">
        <v>1205</v>
      </c>
      <c r="H185" s="20" t="s">
        <v>1206</v>
      </c>
      <c r="I185" s="5" t="s">
        <v>89</v>
      </c>
      <c r="J185" s="4" t="s">
        <v>200</v>
      </c>
      <c r="K185" s="4" t="str" cm="1">
        <f t="array" ref="K18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185" s="4" t="s">
        <v>607</v>
      </c>
      <c r="M185" s="4" t="s">
        <v>676</v>
      </c>
      <c r="N185" s="4" t="s">
        <v>1700</v>
      </c>
      <c r="O185" s="4" t="s">
        <v>677</v>
      </c>
      <c r="P185" s="6">
        <v>45848</v>
      </c>
      <c r="Q185" s="6">
        <v>45899</v>
      </c>
      <c r="R185" s="5">
        <v>4</v>
      </c>
      <c r="S185" s="5"/>
      <c r="T185" s="13"/>
      <c r="U185" s="13"/>
      <c r="V185" s="5">
        <v>0</v>
      </c>
      <c r="W185" s="22" t="str">
        <f>_xlfn.LET(
_xlpm.H,Table1[[#This Row],[Thời hạn mới nhất (Date)]],
_xlpm.S,Table1[[#This Row],[Snapshot]],
IF(
    ISNUMBER(_xlpm.H),
    INT(_xlpm.H)-INT(_xlpm.S),
    "Không giao thời hạn"
))</f>
        <v>Không giao thời hạn</v>
      </c>
      <c r="X185" s="4" t="s">
        <v>678</v>
      </c>
      <c r="Y185" s="5"/>
      <c r="Z185" s="5" t="s">
        <v>35</v>
      </c>
      <c r="AA185" s="5"/>
      <c r="AB185" s="4" t="s">
        <v>61</v>
      </c>
      <c r="AC185" s="6"/>
      <c r="AD185" s="6"/>
      <c r="AE185" s="4">
        <v>0</v>
      </c>
      <c r="AF185" s="26" t="str">
        <f>_xlfn.LET(
_xlpm.H,Table1[[#This Row],[Thời hạn mới nhất (Date)]],
_xlpm.D,Table1[[#This Row],[Dự kiến mới nhất (Date)]],
IF(
NOT(ISNUMBER(_xlpm.H)),"Không giao thời hạn",
IF(
NOT(ISNUMBER(_xlpm.D)),"Chưa có dự kiến",
_xlpm.D-_xlpm.H
)))</f>
        <v>Không giao thời hạn</v>
      </c>
    </row>
    <row r="186" spans="1:32" ht="160.30000000000001" x14ac:dyDescent="0.4">
      <c r="A186" s="44">
        <v>46275</v>
      </c>
      <c r="B186" s="4" t="s">
        <v>675</v>
      </c>
      <c r="C186" s="5" t="s">
        <v>607</v>
      </c>
      <c r="D186" s="5">
        <v>35</v>
      </c>
      <c r="E186" s="5" t="str">
        <f>_xlfn.TEXTJOIN("+",TRUE,Table1[[#This Row],[Snapshot]:[ID]])</f>
        <v>46275+DIR-5F47D1AFB824</v>
      </c>
      <c r="F186" s="5"/>
      <c r="G186" s="20" t="s">
        <v>1205</v>
      </c>
      <c r="H186" s="20" t="s">
        <v>1206</v>
      </c>
      <c r="I186" s="5" t="s">
        <v>89</v>
      </c>
      <c r="J186" s="4" t="s">
        <v>200</v>
      </c>
      <c r="K186" s="4" t="str" cm="1">
        <f t="array" ref="K18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186" s="4" t="s">
        <v>607</v>
      </c>
      <c r="M186" s="4" t="s">
        <v>676</v>
      </c>
      <c r="N186" s="4" t="s">
        <v>1700</v>
      </c>
      <c r="O186" s="4" t="s">
        <v>677</v>
      </c>
      <c r="P186" s="6">
        <v>45848</v>
      </c>
      <c r="Q186" s="6">
        <v>45899</v>
      </c>
      <c r="R186" s="5">
        <v>4</v>
      </c>
      <c r="S186" s="5"/>
      <c r="T186" s="13"/>
      <c r="U186" s="13"/>
      <c r="V186" s="5">
        <v>0</v>
      </c>
      <c r="W186" s="22" t="str">
        <f>_xlfn.LET(
_xlpm.H,Table1[[#This Row],[Thời hạn mới nhất (Date)]],
_xlpm.S,Table1[[#This Row],[Snapshot]],
IF(
    ISNUMBER(_xlpm.H),
    INT(_xlpm.H)-INT(_xlpm.S),
    "Không giao thời hạn"
))</f>
        <v>Không giao thời hạn</v>
      </c>
      <c r="X186" s="4" t="s">
        <v>678</v>
      </c>
      <c r="Y186" s="5"/>
      <c r="Z186" s="5" t="s">
        <v>35</v>
      </c>
      <c r="AA186" s="5"/>
      <c r="AB186" s="4" t="s">
        <v>61</v>
      </c>
      <c r="AC186" s="6"/>
      <c r="AD186" s="6"/>
      <c r="AE186" s="4">
        <v>0</v>
      </c>
      <c r="AF186" s="26" t="str">
        <f>_xlfn.LET(
_xlpm.H,Table1[[#This Row],[Thời hạn mới nhất (Date)]],
_xlpm.D,Table1[[#This Row],[Dự kiến mới nhất (Date)]],
IF(
NOT(ISNUMBER(_xlpm.H)),"Không giao thời hạn",
IF(
NOT(ISNUMBER(_xlpm.D)),"Chưa có dự kiến",
_xlpm.D-_xlpm.H
)))</f>
        <v>Không giao thời hạn</v>
      </c>
    </row>
    <row r="187" spans="1:32" ht="58.3" x14ac:dyDescent="0.4">
      <c r="A187" s="44">
        <v>46282</v>
      </c>
      <c r="B187" s="4" t="s">
        <v>569</v>
      </c>
      <c r="C187" s="5" t="s">
        <v>570</v>
      </c>
      <c r="D187" s="5">
        <v>13</v>
      </c>
      <c r="E187" s="5" t="str">
        <f>_xlfn.TEXTJOIN("+",TRUE,Table1[[#This Row],[Snapshot]:[ID]])</f>
        <v>46282+DIR-5F894EFFD0A9</v>
      </c>
      <c r="F187" s="5"/>
      <c r="G187" s="5" t="s">
        <v>1488</v>
      </c>
      <c r="H187" s="20" t="s">
        <v>1488</v>
      </c>
      <c r="I187" s="5" t="s">
        <v>45</v>
      </c>
      <c r="J187" s="4" t="s">
        <v>30</v>
      </c>
      <c r="K187" s="4" t="str" cm="1">
        <f t="array" ref="K18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187" s="4" t="s">
        <v>570</v>
      </c>
      <c r="M187" s="4" t="s">
        <v>571</v>
      </c>
      <c r="N187" s="4" t="s">
        <v>1697</v>
      </c>
      <c r="O187" s="4" t="s">
        <v>143</v>
      </c>
      <c r="P187" s="6">
        <v>46186</v>
      </c>
      <c r="Q187" s="6">
        <v>46186</v>
      </c>
      <c r="R187" s="5">
        <v>1</v>
      </c>
      <c r="S187" s="5" t="s">
        <v>144</v>
      </c>
      <c r="T187" s="13">
        <v>46203</v>
      </c>
      <c r="U187" s="13">
        <v>46203</v>
      </c>
      <c r="V187" s="5">
        <v>0</v>
      </c>
      <c r="W187" s="22">
        <f>_xlfn.LET(
_xlpm.H,Table1[[#This Row],[Thời hạn mới nhất (Date)]],
_xlpm.S,Table1[[#This Row],[Snapshot]],
IF(
    ISNUMBER(_xlpm.H),
    INT(_xlpm.H)-INT(_xlpm.S),
    "Không giao thời hạn"
))</f>
        <v>-79</v>
      </c>
      <c r="X187" s="4" t="s">
        <v>953</v>
      </c>
      <c r="Y187" s="5"/>
      <c r="Z187" s="5" t="s">
        <v>35</v>
      </c>
      <c r="AA187" s="5"/>
      <c r="AB187" s="4"/>
      <c r="AC187" s="6"/>
      <c r="AD187" s="6"/>
      <c r="AE187" s="4">
        <v>0</v>
      </c>
      <c r="AF187" s="26" t="str">
        <f>_xlfn.LET(
_xlpm.H,Table1[[#This Row],[Thời hạn mới nhất (Date)]],
_xlpm.D,Table1[[#This Row],[Dự kiến mới nhất (Date)]],
IF(
NOT(ISNUMBER(_xlpm.H)),"Không giao thời hạn",
IF(
NOT(ISNUMBER(_xlpm.D)),"Chưa có dự kiến",
_xlpm.D-_xlpm.H
)))</f>
        <v>Chưa có dự kiến</v>
      </c>
    </row>
    <row r="188" spans="1:32" ht="58.3" x14ac:dyDescent="0.4">
      <c r="A188" s="44">
        <v>46275</v>
      </c>
      <c r="B188" s="4" t="s">
        <v>569</v>
      </c>
      <c r="C188" s="5" t="s">
        <v>570</v>
      </c>
      <c r="D188" s="5">
        <v>13</v>
      </c>
      <c r="E188" s="5" t="str">
        <f>_xlfn.TEXTJOIN("+",TRUE,Table1[[#This Row],[Snapshot]:[ID]])</f>
        <v>46275+DIR-5F894EFFD0A9</v>
      </c>
      <c r="F188" s="5"/>
      <c r="G188" s="5" t="s">
        <v>1488</v>
      </c>
      <c r="H188" s="20" t="s">
        <v>1488</v>
      </c>
      <c r="I188" s="5" t="s">
        <v>45</v>
      </c>
      <c r="J188" s="4" t="s">
        <v>30</v>
      </c>
      <c r="K188" s="4" t="str" cm="1">
        <f t="array" ref="K18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188" s="4" t="s">
        <v>570</v>
      </c>
      <c r="M188" s="4" t="s">
        <v>571</v>
      </c>
      <c r="N188" s="4" t="s">
        <v>1697</v>
      </c>
      <c r="O188" s="4" t="s">
        <v>143</v>
      </c>
      <c r="P188" s="6">
        <v>46186</v>
      </c>
      <c r="Q188" s="6">
        <v>46186</v>
      </c>
      <c r="R188" s="5">
        <v>1</v>
      </c>
      <c r="S188" s="5" t="s">
        <v>144</v>
      </c>
      <c r="T188" s="13">
        <v>46203</v>
      </c>
      <c r="U188" s="13">
        <v>46203</v>
      </c>
      <c r="V188" s="5">
        <v>0</v>
      </c>
      <c r="W188" s="22">
        <f>_xlfn.LET(
_xlpm.H,Table1[[#This Row],[Thời hạn mới nhất (Date)]],
_xlpm.S,Table1[[#This Row],[Snapshot]],
IF(
    ISNUMBER(_xlpm.H),
    INT(_xlpm.H)-INT(_xlpm.S),
    "Không giao thời hạn"
))</f>
        <v>-72</v>
      </c>
      <c r="X188" s="4" t="s">
        <v>572</v>
      </c>
      <c r="Y188" s="5"/>
      <c r="Z188" s="5" t="s">
        <v>35</v>
      </c>
      <c r="AA188" s="5"/>
      <c r="AB188" s="4"/>
      <c r="AC188" s="6"/>
      <c r="AD188" s="6"/>
      <c r="AE188" s="4">
        <v>0</v>
      </c>
      <c r="AF188" s="26" t="str">
        <f>_xlfn.LET(
_xlpm.H,Table1[[#This Row],[Thời hạn mới nhất (Date)]],
_xlpm.D,Table1[[#This Row],[Dự kiến mới nhất (Date)]],
IF(
NOT(ISNUMBER(_xlpm.H)),"Không giao thời hạn",
IF(
NOT(ISNUMBER(_xlpm.D)),"Chưa có dự kiến",
_xlpm.D-_xlpm.H
)))</f>
        <v>Chưa có dự kiến</v>
      </c>
    </row>
    <row r="189" spans="1:32" ht="160.30000000000001" x14ac:dyDescent="0.4">
      <c r="A189" s="44">
        <v>46275</v>
      </c>
      <c r="B189" s="4" t="s">
        <v>563</v>
      </c>
      <c r="C189" s="5" t="s">
        <v>532</v>
      </c>
      <c r="D189" s="5">
        <v>21</v>
      </c>
      <c r="E189" s="5" t="str">
        <f>_xlfn.TEXTJOIN("+",TRUE,Table1[[#This Row],[Snapshot]:[ID]])</f>
        <v>46275+DIR-6104DEB5656E</v>
      </c>
      <c r="F189" s="5"/>
      <c r="G189" s="5" t="s">
        <v>1872</v>
      </c>
      <c r="H189" s="20" t="s">
        <v>1873</v>
      </c>
      <c r="I189" s="5" t="s">
        <v>89</v>
      </c>
      <c r="J189" s="4" t="s">
        <v>30</v>
      </c>
      <c r="K189" s="4" t="str" cm="1">
        <f t="array" ref="K18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11. Ngân sách, Chi phí và Thẩm quyền Tài chính</v>
      </c>
      <c r="L189" s="4" t="s">
        <v>532</v>
      </c>
      <c r="M189" s="4" t="s">
        <v>564</v>
      </c>
      <c r="N189" s="4" t="s">
        <v>1717</v>
      </c>
      <c r="O189" s="4" t="s">
        <v>32</v>
      </c>
      <c r="P189" s="13">
        <v>46242</v>
      </c>
      <c r="Q189" s="13">
        <v>46242</v>
      </c>
      <c r="R189" s="5">
        <v>1</v>
      </c>
      <c r="S189" s="5" t="s">
        <v>565</v>
      </c>
      <c r="T189" s="13">
        <v>46254</v>
      </c>
      <c r="U189" s="13">
        <v>46254</v>
      </c>
      <c r="V189" s="5">
        <v>0</v>
      </c>
      <c r="W189" s="22">
        <f>_xlfn.LET(
_xlpm.H,Table1[[#This Row],[Thời hạn mới nhất (Date)]],
_xlpm.S,Table1[[#This Row],[Snapshot]],
IF(
    ISNUMBER(_xlpm.H),
    INT(_xlpm.H)-INT(_xlpm.S),
    "Không giao thời hạn"
))</f>
        <v>-21</v>
      </c>
      <c r="X189" s="4" t="s">
        <v>566</v>
      </c>
      <c r="Y189" s="5" t="s">
        <v>35</v>
      </c>
      <c r="Z189" s="5"/>
      <c r="AA189" s="5"/>
      <c r="AB189" s="4"/>
      <c r="AC189" s="6"/>
      <c r="AD189" s="6"/>
      <c r="AE189" s="4">
        <v>0</v>
      </c>
      <c r="AF189" s="26" t="str">
        <f>_xlfn.LET(
_xlpm.H,Table1[[#This Row],[Thời hạn mới nhất (Date)]],
_xlpm.D,Table1[[#This Row],[Dự kiến mới nhất (Date)]],
IF(
NOT(ISNUMBER(_xlpm.H)),"Không giao thời hạn",
IF(
NOT(ISNUMBER(_xlpm.D)),"Chưa có dự kiến",
_xlpm.D-_xlpm.H
)))</f>
        <v>Chưa có dự kiến</v>
      </c>
    </row>
    <row r="190" spans="1:32" ht="131.15" x14ac:dyDescent="0.4">
      <c r="A190" s="44">
        <v>46282</v>
      </c>
      <c r="B190" s="4" t="s">
        <v>627</v>
      </c>
      <c r="C190" s="5" t="s">
        <v>607</v>
      </c>
      <c r="D190" s="5">
        <v>18</v>
      </c>
      <c r="E190" s="5" t="str">
        <f>_xlfn.TEXTJOIN("+",TRUE,Table1[[#This Row],[Snapshot]:[ID]])</f>
        <v>46282+DIR-610EB618E21B</v>
      </c>
      <c r="F190" s="5"/>
      <c r="G190" s="5" t="s">
        <v>1874</v>
      </c>
      <c r="H190" s="20" t="s">
        <v>1875</v>
      </c>
      <c r="I190" s="5" t="s">
        <v>75</v>
      </c>
      <c r="J190" s="4" t="s">
        <v>30</v>
      </c>
      <c r="K190" s="4" t="str" cm="1">
        <f t="array" ref="K19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190" s="4" t="s">
        <v>607</v>
      </c>
      <c r="M190" s="4" t="s">
        <v>628</v>
      </c>
      <c r="N190" s="4" t="s">
        <v>1700</v>
      </c>
      <c r="O190" s="4" t="s">
        <v>275</v>
      </c>
      <c r="P190" s="6">
        <v>46256</v>
      </c>
      <c r="Q190" s="6">
        <v>46256</v>
      </c>
      <c r="R190" s="5">
        <v>1</v>
      </c>
      <c r="S190" s="5" t="s">
        <v>625</v>
      </c>
      <c r="T190" s="13">
        <v>46275</v>
      </c>
      <c r="U190" s="13">
        <v>46275</v>
      </c>
      <c r="V190" s="5">
        <v>0</v>
      </c>
      <c r="W190" s="22">
        <f>_xlfn.LET(
_xlpm.H,Table1[[#This Row],[Thời hạn mới nhất (Date)]],
_xlpm.S,Table1[[#This Row],[Snapshot]],
IF(
    ISNUMBER(_xlpm.H),
    INT(_xlpm.H)-INT(_xlpm.S),
    "Không giao thời hạn"
))</f>
        <v>-7</v>
      </c>
      <c r="X190" s="4" t="s">
        <v>629</v>
      </c>
      <c r="Y190" s="5"/>
      <c r="Z190" s="5" t="s">
        <v>35</v>
      </c>
      <c r="AA190" s="5"/>
      <c r="AB190" s="4"/>
      <c r="AC190" s="6"/>
      <c r="AD190" s="6"/>
      <c r="AE190" s="4">
        <v>0</v>
      </c>
      <c r="AF190" s="26" t="str">
        <f>_xlfn.LET(
_xlpm.H,Table1[[#This Row],[Thời hạn mới nhất (Date)]],
_xlpm.D,Table1[[#This Row],[Dự kiến mới nhất (Date)]],
IF(
NOT(ISNUMBER(_xlpm.H)),"Không giao thời hạn",
IF(
NOT(ISNUMBER(_xlpm.D)),"Chưa có dự kiến",
_xlpm.D-_xlpm.H
)))</f>
        <v>Chưa có dự kiến</v>
      </c>
    </row>
    <row r="191" spans="1:32" ht="145.75" x14ac:dyDescent="0.4">
      <c r="A191" s="44">
        <v>46275</v>
      </c>
      <c r="B191" s="4" t="s">
        <v>627</v>
      </c>
      <c r="C191" s="5" t="s">
        <v>607</v>
      </c>
      <c r="D191" s="5">
        <v>18</v>
      </c>
      <c r="E191" s="5" t="str">
        <f>_xlfn.TEXTJOIN("+",TRUE,Table1[[#This Row],[Snapshot]:[ID]])</f>
        <v>46275+DIR-610EB618E21B</v>
      </c>
      <c r="F191" s="5"/>
      <c r="G191" s="5" t="s">
        <v>1876</v>
      </c>
      <c r="H191" s="20" t="s">
        <v>1877</v>
      </c>
      <c r="I191" s="5" t="s">
        <v>75</v>
      </c>
      <c r="J191" s="4" t="s">
        <v>30</v>
      </c>
      <c r="K191" s="4" t="str" cm="1">
        <f t="array" ref="K19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191" s="4" t="s">
        <v>607</v>
      </c>
      <c r="M191" s="4" t="s">
        <v>628</v>
      </c>
      <c r="N191" s="4" t="s">
        <v>1700</v>
      </c>
      <c r="O191" s="4" t="s">
        <v>275</v>
      </c>
      <c r="P191" s="6">
        <v>46256</v>
      </c>
      <c r="Q191" s="6">
        <v>46256</v>
      </c>
      <c r="R191" s="5">
        <v>1</v>
      </c>
      <c r="S191" s="5" t="s">
        <v>625</v>
      </c>
      <c r="T191" s="13">
        <v>46275</v>
      </c>
      <c r="U191" s="13">
        <v>46275</v>
      </c>
      <c r="V191" s="5">
        <v>0</v>
      </c>
      <c r="W191" s="22">
        <f>_xlfn.LET(
_xlpm.H,Table1[[#This Row],[Thời hạn mới nhất (Date)]],
_xlpm.S,Table1[[#This Row],[Snapshot]],
IF(
    ISNUMBER(_xlpm.H),
    INT(_xlpm.H)-INT(_xlpm.S),
    "Không giao thời hạn"
))</f>
        <v>0</v>
      </c>
      <c r="X191" s="4" t="s">
        <v>629</v>
      </c>
      <c r="Y191" s="5"/>
      <c r="Z191" s="5" t="s">
        <v>35</v>
      </c>
      <c r="AA191" s="5"/>
      <c r="AB191" s="4"/>
      <c r="AC191" s="6"/>
      <c r="AD191" s="6"/>
      <c r="AE191" s="4">
        <v>0</v>
      </c>
      <c r="AF191" s="26" t="str">
        <f>_xlfn.LET(
_xlpm.H,Table1[[#This Row],[Thời hạn mới nhất (Date)]],
_xlpm.D,Table1[[#This Row],[Dự kiến mới nhất (Date)]],
IF(
NOT(ISNUMBER(_xlpm.H)),"Không giao thời hạn",
IF(
NOT(ISNUMBER(_xlpm.D)),"Chưa có dự kiến",
_xlpm.D-_xlpm.H
)))</f>
        <v>Chưa có dự kiến</v>
      </c>
    </row>
    <row r="192" spans="1:32" ht="131.15" x14ac:dyDescent="0.4">
      <c r="A192" s="44">
        <v>46282</v>
      </c>
      <c r="B192" s="4" t="s">
        <v>623</v>
      </c>
      <c r="C192" s="5" t="s">
        <v>607</v>
      </c>
      <c r="D192" s="5">
        <v>17</v>
      </c>
      <c r="E192" s="5" t="str">
        <f>_xlfn.TEXTJOIN("+",TRUE,Table1[[#This Row],[Snapshot]:[ID]])</f>
        <v>46282+DIR-6270C2EC68B1</v>
      </c>
      <c r="F192" s="5"/>
      <c r="G192" s="5" t="s">
        <v>1878</v>
      </c>
      <c r="H192" s="20" t="s">
        <v>1879</v>
      </c>
      <c r="I192" s="5" t="s">
        <v>69</v>
      </c>
      <c r="J192" s="4" t="s">
        <v>30</v>
      </c>
      <c r="K192" s="4" t="str" cm="1">
        <f t="array" ref="K19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18. Quy trình Phát triển và Ra mắt Sản phẩm</v>
      </c>
      <c r="L192" s="4" t="s">
        <v>607</v>
      </c>
      <c r="M192" s="4" t="s">
        <v>624</v>
      </c>
      <c r="N192" s="4" t="s">
        <v>1700</v>
      </c>
      <c r="O192" s="4" t="s">
        <v>275</v>
      </c>
      <c r="P192" s="6">
        <v>46256</v>
      </c>
      <c r="Q192" s="6">
        <v>46256</v>
      </c>
      <c r="R192" s="5">
        <v>1</v>
      </c>
      <c r="S192" s="5" t="s">
        <v>625</v>
      </c>
      <c r="T192" s="13">
        <v>46275</v>
      </c>
      <c r="U192" s="13">
        <v>46275</v>
      </c>
      <c r="V192" s="5">
        <v>0</v>
      </c>
      <c r="W192" s="22">
        <f>_xlfn.LET(
_xlpm.H,Table1[[#This Row],[Thời hạn mới nhất (Date)]],
_xlpm.S,Table1[[#This Row],[Snapshot]],
IF(
    ISNUMBER(_xlpm.H),
    INT(_xlpm.H)-INT(_xlpm.S),
    "Không giao thời hạn"
))</f>
        <v>-7</v>
      </c>
      <c r="X192" s="4" t="s">
        <v>626</v>
      </c>
      <c r="Y192" s="5"/>
      <c r="Z192" s="5" t="s">
        <v>35</v>
      </c>
      <c r="AA192" s="5"/>
      <c r="AB192" s="4"/>
      <c r="AC192" s="6"/>
      <c r="AD192" s="6"/>
      <c r="AE192" s="4">
        <v>0</v>
      </c>
      <c r="AF192" s="26" t="str">
        <f>_xlfn.LET(
_xlpm.H,Table1[[#This Row],[Thời hạn mới nhất (Date)]],
_xlpm.D,Table1[[#This Row],[Dự kiến mới nhất (Date)]],
IF(
NOT(ISNUMBER(_xlpm.H)),"Không giao thời hạn",
IF(
NOT(ISNUMBER(_xlpm.D)),"Chưa có dự kiến",
_xlpm.D-_xlpm.H
)))</f>
        <v>Chưa có dự kiến</v>
      </c>
    </row>
    <row r="193" spans="1:32" ht="174.9" x14ac:dyDescent="0.4">
      <c r="A193" s="44">
        <v>46275</v>
      </c>
      <c r="B193" s="4" t="s">
        <v>623</v>
      </c>
      <c r="C193" s="5" t="s">
        <v>607</v>
      </c>
      <c r="D193" s="5">
        <v>17</v>
      </c>
      <c r="E193" s="5" t="str">
        <f>_xlfn.TEXTJOIN("+",TRUE,Table1[[#This Row],[Snapshot]:[ID]])</f>
        <v>46275+DIR-6270C2EC68B1</v>
      </c>
      <c r="F193" s="5"/>
      <c r="G193" s="5" t="s">
        <v>1880</v>
      </c>
      <c r="H193" s="20" t="s">
        <v>1881</v>
      </c>
      <c r="I193" s="5" t="s">
        <v>69</v>
      </c>
      <c r="J193" s="4" t="s">
        <v>30</v>
      </c>
      <c r="K193" s="4" t="str" cm="1">
        <f t="array" ref="K19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18. Quy trình Phát triển và Ra mắt Sản phẩm</v>
      </c>
      <c r="L193" s="4" t="s">
        <v>607</v>
      </c>
      <c r="M193" s="4" t="s">
        <v>624</v>
      </c>
      <c r="N193" s="4" t="s">
        <v>1700</v>
      </c>
      <c r="O193" s="4" t="s">
        <v>275</v>
      </c>
      <c r="P193" s="6">
        <v>46256</v>
      </c>
      <c r="Q193" s="6">
        <v>46256</v>
      </c>
      <c r="R193" s="5">
        <v>1</v>
      </c>
      <c r="S193" s="5" t="s">
        <v>625</v>
      </c>
      <c r="T193" s="13">
        <v>46275</v>
      </c>
      <c r="U193" s="13">
        <v>46275</v>
      </c>
      <c r="V193" s="5">
        <v>0</v>
      </c>
      <c r="W193" s="22">
        <f>_xlfn.LET(
_xlpm.H,Table1[[#This Row],[Thời hạn mới nhất (Date)]],
_xlpm.S,Table1[[#This Row],[Snapshot]],
IF(
    ISNUMBER(_xlpm.H),
    INT(_xlpm.H)-INT(_xlpm.S),
    "Không giao thời hạn"
))</f>
        <v>0</v>
      </c>
      <c r="X193" s="4" t="s">
        <v>626</v>
      </c>
      <c r="Y193" s="5"/>
      <c r="Z193" s="5" t="s">
        <v>35</v>
      </c>
      <c r="AA193" s="5"/>
      <c r="AB193" s="4"/>
      <c r="AC193" s="6"/>
      <c r="AD193" s="6"/>
      <c r="AE193" s="4">
        <v>0</v>
      </c>
      <c r="AF193" s="26" t="str">
        <f>_xlfn.LET(
_xlpm.H,Table1[[#This Row],[Thời hạn mới nhất (Date)]],
_xlpm.D,Table1[[#This Row],[Dự kiến mới nhất (Date)]],
IF(
NOT(ISNUMBER(_xlpm.H)),"Không giao thời hạn",
IF(
NOT(ISNUMBER(_xlpm.D)),"Chưa có dự kiến",
_xlpm.D-_xlpm.H
)))</f>
        <v>Chưa có dự kiến</v>
      </c>
    </row>
    <row r="194" spans="1:32" ht="218.6" x14ac:dyDescent="0.4">
      <c r="A194" s="44">
        <v>46282</v>
      </c>
      <c r="B194" s="4" t="s">
        <v>521</v>
      </c>
      <c r="C194" s="5" t="s">
        <v>469</v>
      </c>
      <c r="D194" s="5">
        <v>26</v>
      </c>
      <c r="E194" s="5" t="str">
        <f>_xlfn.TEXTJOIN("+",TRUE,Table1[[#This Row],[Snapshot]:[ID]])</f>
        <v>46282+DIR-6504DBC6528D</v>
      </c>
      <c r="F194" s="5"/>
      <c r="G194" s="20" t="s">
        <v>1230</v>
      </c>
      <c r="H194" s="20" t="s">
        <v>1231</v>
      </c>
      <c r="I194" s="5" t="s">
        <v>52</v>
      </c>
      <c r="J194" s="4" t="s">
        <v>200</v>
      </c>
      <c r="K194" s="4" t="str" cm="1">
        <f t="array" ref="K19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194" s="4" t="s">
        <v>469</v>
      </c>
      <c r="M194" s="4" t="s">
        <v>522</v>
      </c>
      <c r="N194" s="4" t="s">
        <v>1713</v>
      </c>
      <c r="O194" s="4" t="s">
        <v>523</v>
      </c>
      <c r="P194" s="6">
        <v>45892</v>
      </c>
      <c r="Q194" s="6">
        <v>45933</v>
      </c>
      <c r="R194" s="5">
        <v>2</v>
      </c>
      <c r="S194" s="5"/>
      <c r="T194" s="13"/>
      <c r="U194" s="13"/>
      <c r="V194" s="5">
        <v>0</v>
      </c>
      <c r="W194" s="22" t="str">
        <f>_xlfn.LET(
_xlpm.H,Table1[[#This Row],[Thời hạn mới nhất (Date)]],
_xlpm.S,Table1[[#This Row],[Snapshot]],
IF(
    ISNUMBER(_xlpm.H),
    INT(_xlpm.H)-INT(_xlpm.S),
    "Không giao thời hạn"
))</f>
        <v>Không giao thời hạn</v>
      </c>
      <c r="X194" s="4" t="s">
        <v>524</v>
      </c>
      <c r="Y194" s="5"/>
      <c r="Z194" s="5" t="s">
        <v>35</v>
      </c>
      <c r="AA194" s="5"/>
      <c r="AB194" s="4" t="s">
        <v>525</v>
      </c>
      <c r="AC194" s="6"/>
      <c r="AD194" s="6"/>
      <c r="AE194" s="4">
        <v>0</v>
      </c>
      <c r="AF194" s="26" t="str">
        <f>_xlfn.LET(
_xlpm.H,Table1[[#This Row],[Thời hạn mới nhất (Date)]],
_xlpm.D,Table1[[#This Row],[Dự kiến mới nhất (Date)]],
IF(
NOT(ISNUMBER(_xlpm.H)),"Không giao thời hạn",
IF(
NOT(ISNUMBER(_xlpm.D)),"Chưa có dự kiến",
_xlpm.D-_xlpm.H
)))</f>
        <v>Không giao thời hạn</v>
      </c>
    </row>
    <row r="195" spans="1:32" ht="218.6" x14ac:dyDescent="0.4">
      <c r="A195" s="44">
        <v>46275</v>
      </c>
      <c r="B195" s="4" t="s">
        <v>521</v>
      </c>
      <c r="C195" s="5" t="s">
        <v>469</v>
      </c>
      <c r="D195" s="5">
        <v>27</v>
      </c>
      <c r="E195" s="5" t="str">
        <f>_xlfn.TEXTJOIN("+",TRUE,Table1[[#This Row],[Snapshot]:[ID]])</f>
        <v>46275+DIR-6504DBC6528D</v>
      </c>
      <c r="F195" s="5"/>
      <c r="G195" s="20" t="s">
        <v>1232</v>
      </c>
      <c r="H195" s="20" t="s">
        <v>1233</v>
      </c>
      <c r="I195" s="5" t="s">
        <v>52</v>
      </c>
      <c r="J195" s="4" t="s">
        <v>200</v>
      </c>
      <c r="K195" s="4" t="str" cm="1">
        <f t="array" ref="K19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195" s="4" t="s">
        <v>469</v>
      </c>
      <c r="M195" s="4" t="s">
        <v>522</v>
      </c>
      <c r="N195" s="4" t="s">
        <v>1713</v>
      </c>
      <c r="O195" s="4" t="s">
        <v>523</v>
      </c>
      <c r="P195" s="6">
        <v>45892</v>
      </c>
      <c r="Q195" s="6">
        <v>45933</v>
      </c>
      <c r="R195" s="5">
        <v>2</v>
      </c>
      <c r="S195" s="5"/>
      <c r="T195" s="13"/>
      <c r="U195" s="13"/>
      <c r="V195" s="5">
        <v>0</v>
      </c>
      <c r="W195" s="22" t="str">
        <f>_xlfn.LET(
_xlpm.H,Table1[[#This Row],[Thời hạn mới nhất (Date)]],
_xlpm.S,Table1[[#This Row],[Snapshot]],
IF(
    ISNUMBER(_xlpm.H),
    INT(_xlpm.H)-INT(_xlpm.S),
    "Không giao thời hạn"
))</f>
        <v>Không giao thời hạn</v>
      </c>
      <c r="X195" s="4" t="s">
        <v>524</v>
      </c>
      <c r="Y195" s="5"/>
      <c r="Z195" s="5" t="s">
        <v>35</v>
      </c>
      <c r="AA195" s="5"/>
      <c r="AB195" s="4" t="s">
        <v>525</v>
      </c>
      <c r="AC195" s="6"/>
      <c r="AD195" s="6"/>
      <c r="AE195" s="4">
        <v>0</v>
      </c>
      <c r="AF195" s="26" t="str">
        <f>_xlfn.LET(
_xlpm.H,Table1[[#This Row],[Thời hạn mới nhất (Date)]],
_xlpm.D,Table1[[#This Row],[Dự kiến mới nhất (Date)]],
IF(
NOT(ISNUMBER(_xlpm.H)),"Không giao thời hạn",
IF(
NOT(ISNUMBER(_xlpm.D)),"Chưa có dự kiến",
_xlpm.D-_xlpm.H
)))</f>
        <v>Không giao thời hạn</v>
      </c>
    </row>
    <row r="196" spans="1:32" ht="116.6" x14ac:dyDescent="0.4">
      <c r="A196" s="44">
        <v>46282</v>
      </c>
      <c r="B196" s="4" t="s">
        <v>998</v>
      </c>
      <c r="C196" s="5" t="s">
        <v>888</v>
      </c>
      <c r="D196" s="5">
        <v>17</v>
      </c>
      <c r="E196" s="5" t="str">
        <f>_xlfn.TEXTJOIN("+",TRUE,Table1[[#This Row],[Snapshot]:[ID]])</f>
        <v>46282+DIR-66475B16E9CB</v>
      </c>
      <c r="F196" s="5"/>
      <c r="G196" s="5" t="s">
        <v>1306</v>
      </c>
      <c r="H196" s="20" t="s">
        <v>1306</v>
      </c>
      <c r="I196" s="5" t="s">
        <v>69</v>
      </c>
      <c r="J196" s="4" t="s">
        <v>30</v>
      </c>
      <c r="K196" s="4" t="str" cm="1">
        <f t="array" ref="K19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196" s="4" t="s">
        <v>888</v>
      </c>
      <c r="M196" s="4" t="s">
        <v>905</v>
      </c>
      <c r="N196" s="4" t="s">
        <v>1715</v>
      </c>
      <c r="O196" s="4" t="s">
        <v>906</v>
      </c>
      <c r="P196" s="6">
        <v>46277</v>
      </c>
      <c r="Q196" s="6">
        <v>46277</v>
      </c>
      <c r="R196" s="5">
        <v>1</v>
      </c>
      <c r="S196" s="5" t="s">
        <v>907</v>
      </c>
      <c r="T196" s="13">
        <v>46285</v>
      </c>
      <c r="U196" s="13">
        <v>46285</v>
      </c>
      <c r="V196" s="5">
        <v>0</v>
      </c>
      <c r="W196" s="22">
        <f>_xlfn.LET(
_xlpm.H,Table1[[#This Row],[Thời hạn mới nhất (Date)]],
_xlpm.S,Table1[[#This Row],[Snapshot]],
IF(
    ISNUMBER(_xlpm.H),
    INT(_xlpm.H)-INT(_xlpm.S),
    "Không giao thời hạn"
))</f>
        <v>3</v>
      </c>
      <c r="X196" s="4"/>
      <c r="Y196" s="5"/>
      <c r="Z196" s="5"/>
      <c r="AA196" s="5"/>
      <c r="AB196" s="4"/>
      <c r="AC196" s="6"/>
      <c r="AD196" s="6"/>
      <c r="AE196" s="4">
        <v>0</v>
      </c>
      <c r="AF196" s="26" t="str">
        <f>_xlfn.LET(
_xlpm.H,Table1[[#This Row],[Thời hạn mới nhất (Date)]],
_xlpm.D,Table1[[#This Row],[Dự kiến mới nhất (Date)]],
IF(
NOT(ISNUMBER(_xlpm.H)),"Không giao thời hạn",
IF(
NOT(ISNUMBER(_xlpm.D)),"Chưa có dự kiến",
_xlpm.D-_xlpm.H
)))</f>
        <v>Chưa có dự kiến</v>
      </c>
    </row>
    <row r="197" spans="1:32" ht="131.15" x14ac:dyDescent="0.4">
      <c r="A197" s="44">
        <v>46282</v>
      </c>
      <c r="B197" s="4" t="s">
        <v>480</v>
      </c>
      <c r="C197" s="5" t="s">
        <v>469</v>
      </c>
      <c r="D197" s="5">
        <v>16</v>
      </c>
      <c r="E197" s="5" t="str">
        <f>_xlfn.TEXTJOIN("+",TRUE,Table1[[#This Row],[Snapshot]:[ID]])</f>
        <v>46282+DIR-6A8B6F3BBBEC</v>
      </c>
      <c r="F197" s="5"/>
      <c r="G197" s="5" t="s">
        <v>1328</v>
      </c>
      <c r="H197" s="20" t="s">
        <v>1329</v>
      </c>
      <c r="I197" s="5" t="s">
        <v>57</v>
      </c>
      <c r="J197" s="4" t="s">
        <v>30</v>
      </c>
      <c r="K197" s="4" t="str" cm="1">
        <f t="array" ref="K19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197" s="4" t="s">
        <v>469</v>
      </c>
      <c r="M197" s="4" t="s">
        <v>481</v>
      </c>
      <c r="N197" s="4" t="s">
        <v>1713</v>
      </c>
      <c r="O197" s="4" t="s">
        <v>268</v>
      </c>
      <c r="P197" s="6">
        <v>46181</v>
      </c>
      <c r="Q197" s="6">
        <v>46181</v>
      </c>
      <c r="R197" s="5">
        <v>1</v>
      </c>
      <c r="S197" s="5"/>
      <c r="T197" s="13"/>
      <c r="U197" s="13"/>
      <c r="V197" s="5">
        <v>0</v>
      </c>
      <c r="W197" s="22" t="str">
        <f>_xlfn.LET(
_xlpm.H,Table1[[#This Row],[Thời hạn mới nhất (Date)]],
_xlpm.S,Table1[[#This Row],[Snapshot]],
IF(
    ISNUMBER(_xlpm.H),
    INT(_xlpm.H)-INT(_xlpm.S),
    "Không giao thời hạn"
))</f>
        <v>Không giao thời hạn</v>
      </c>
      <c r="X197" s="4" t="s">
        <v>482</v>
      </c>
      <c r="Y197" s="5"/>
      <c r="Z197" s="5" t="s">
        <v>35</v>
      </c>
      <c r="AA197" s="5"/>
      <c r="AB197" s="4" t="s">
        <v>483</v>
      </c>
      <c r="AC197" s="6"/>
      <c r="AD197" s="6"/>
      <c r="AE197" s="4">
        <v>0</v>
      </c>
      <c r="AF197" s="26" t="str">
        <f>_xlfn.LET(
_xlpm.H,Table1[[#This Row],[Thời hạn mới nhất (Date)]],
_xlpm.D,Table1[[#This Row],[Dự kiến mới nhất (Date)]],
IF(
NOT(ISNUMBER(_xlpm.H)),"Không giao thời hạn",
IF(
NOT(ISNUMBER(_xlpm.D)),"Chưa có dự kiến",
_xlpm.D-_xlpm.H
)))</f>
        <v>Không giao thời hạn</v>
      </c>
    </row>
    <row r="198" spans="1:32" ht="131.15" x14ac:dyDescent="0.4">
      <c r="A198" s="44">
        <v>46275</v>
      </c>
      <c r="B198" s="4" t="s">
        <v>480</v>
      </c>
      <c r="C198" s="5" t="s">
        <v>469</v>
      </c>
      <c r="D198" s="5">
        <v>16</v>
      </c>
      <c r="E198" s="5" t="str">
        <f>_xlfn.TEXTJOIN("+",TRUE,Table1[[#This Row],[Snapshot]:[ID]])</f>
        <v>46275+DIR-6A8B6F3BBBEC</v>
      </c>
      <c r="F198" s="5"/>
      <c r="G198" s="5" t="s">
        <v>1328</v>
      </c>
      <c r="H198" s="20" t="s">
        <v>1329</v>
      </c>
      <c r="I198" s="5" t="s">
        <v>57</v>
      </c>
      <c r="J198" s="4" t="s">
        <v>30</v>
      </c>
      <c r="K198" s="4" t="str" cm="1">
        <f t="array" ref="K19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198" s="4" t="s">
        <v>469</v>
      </c>
      <c r="M198" s="4" t="s">
        <v>481</v>
      </c>
      <c r="N198" s="4" t="s">
        <v>1713</v>
      </c>
      <c r="O198" s="4" t="s">
        <v>268</v>
      </c>
      <c r="P198" s="6">
        <v>46181</v>
      </c>
      <c r="Q198" s="6">
        <v>46181</v>
      </c>
      <c r="R198" s="5">
        <v>1</v>
      </c>
      <c r="S198" s="5"/>
      <c r="T198" s="13"/>
      <c r="U198" s="13"/>
      <c r="V198" s="5">
        <v>0</v>
      </c>
      <c r="W198" s="22" t="str">
        <f>_xlfn.LET(
_xlpm.H,Table1[[#This Row],[Thời hạn mới nhất (Date)]],
_xlpm.S,Table1[[#This Row],[Snapshot]],
IF(
    ISNUMBER(_xlpm.H),
    INT(_xlpm.H)-INT(_xlpm.S),
    "Không giao thời hạn"
))</f>
        <v>Không giao thời hạn</v>
      </c>
      <c r="X198" s="4" t="s">
        <v>482</v>
      </c>
      <c r="Y198" s="5"/>
      <c r="Z198" s="5" t="s">
        <v>35</v>
      </c>
      <c r="AA198" s="5"/>
      <c r="AB198" s="4" t="s">
        <v>483</v>
      </c>
      <c r="AC198" s="6"/>
      <c r="AD198" s="6"/>
      <c r="AE198" s="4">
        <v>0</v>
      </c>
      <c r="AF198" s="26" t="str">
        <f>_xlfn.LET(
_xlpm.H,Table1[[#This Row],[Thời hạn mới nhất (Date)]],
_xlpm.D,Table1[[#This Row],[Dự kiến mới nhất (Date)]],
IF(
NOT(ISNUMBER(_xlpm.H)),"Không giao thời hạn",
IF(
NOT(ISNUMBER(_xlpm.D)),"Chưa có dự kiến",
_xlpm.D-_xlpm.H
)))</f>
        <v>Không giao thời hạn</v>
      </c>
    </row>
    <row r="199" spans="1:32" ht="131.15" x14ac:dyDescent="0.4">
      <c r="A199" s="44">
        <v>46282</v>
      </c>
      <c r="B199" s="4" t="s">
        <v>79</v>
      </c>
      <c r="C199" s="5" t="s">
        <v>44</v>
      </c>
      <c r="D199" s="5">
        <v>19</v>
      </c>
      <c r="E199" s="5" t="str">
        <f>_xlfn.TEXTJOIN("+",TRUE,Table1[[#This Row],[Snapshot]:[ID]])</f>
        <v>46282+DIR-6B1F40E68DDB</v>
      </c>
      <c r="F199" s="5"/>
      <c r="G199" s="5" t="s">
        <v>1882</v>
      </c>
      <c r="H199" s="20" t="s">
        <v>1883</v>
      </c>
      <c r="I199" s="5" t="s">
        <v>80</v>
      </c>
      <c r="J199" s="4" t="s">
        <v>30</v>
      </c>
      <c r="K199" s="4" t="str" cm="1">
        <f t="array" ref="K19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18. Quy trình Phát triển và Ra mắt Sản phẩm</v>
      </c>
      <c r="L199" s="4" t="s">
        <v>44</v>
      </c>
      <c r="M199" s="4" t="s">
        <v>81</v>
      </c>
      <c r="N199" s="4" t="s">
        <v>1703</v>
      </c>
      <c r="O199" s="4" t="s">
        <v>71</v>
      </c>
      <c r="P199" s="6">
        <v>46235</v>
      </c>
      <c r="Q199" s="6">
        <v>46235</v>
      </c>
      <c r="R199" s="5">
        <v>1</v>
      </c>
      <c r="S199" s="5" t="s">
        <v>82</v>
      </c>
      <c r="T199" s="13">
        <v>46265</v>
      </c>
      <c r="U199" s="13">
        <v>46265</v>
      </c>
      <c r="V199" s="5">
        <v>0</v>
      </c>
      <c r="W199" s="22">
        <f>_xlfn.LET(
_xlpm.H,Table1[[#This Row],[Thời hạn mới nhất (Date)]],
_xlpm.S,Table1[[#This Row],[Snapshot]],
IF(
    ISNUMBER(_xlpm.H),
    INT(_xlpm.H)-INT(_xlpm.S),
    "Không giao thời hạn"
))</f>
        <v>-17</v>
      </c>
      <c r="X199" s="4" t="s">
        <v>83</v>
      </c>
      <c r="Y199" s="5"/>
      <c r="Z199" s="5" t="s">
        <v>35</v>
      </c>
      <c r="AA199" s="5"/>
      <c r="AB199" s="4"/>
      <c r="AC199" s="6"/>
      <c r="AD199" s="6"/>
      <c r="AE199" s="4">
        <v>0</v>
      </c>
      <c r="AF199" s="26" t="str">
        <f>_xlfn.LET(
_xlpm.H,Table1[[#This Row],[Thời hạn mới nhất (Date)]],
_xlpm.D,Table1[[#This Row],[Dự kiến mới nhất (Date)]],
IF(
NOT(ISNUMBER(_xlpm.H)),"Không giao thời hạn",
IF(
NOT(ISNUMBER(_xlpm.D)),"Chưa có dự kiến",
_xlpm.D-_xlpm.H
)))</f>
        <v>Chưa có dự kiến</v>
      </c>
    </row>
    <row r="200" spans="1:32" ht="160.30000000000001" x14ac:dyDescent="0.4">
      <c r="A200" s="44">
        <v>46275</v>
      </c>
      <c r="B200" s="4" t="s">
        <v>79</v>
      </c>
      <c r="C200" s="5" t="s">
        <v>44</v>
      </c>
      <c r="D200" s="5">
        <v>19</v>
      </c>
      <c r="E200" s="5" t="str">
        <f>_xlfn.TEXTJOIN("+",TRUE,Table1[[#This Row],[Snapshot]:[ID]])</f>
        <v>46275+DIR-6B1F40E68DDB</v>
      </c>
      <c r="F200" s="5"/>
      <c r="G200" s="5" t="s">
        <v>1884</v>
      </c>
      <c r="H200" s="20" t="s">
        <v>1885</v>
      </c>
      <c r="I200" s="5" t="s">
        <v>80</v>
      </c>
      <c r="J200" s="4" t="s">
        <v>30</v>
      </c>
      <c r="K200" s="4" t="str" cm="1">
        <f t="array" ref="K20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18. Quy trình Phát triển và Ra mắt Sản phẩm</v>
      </c>
      <c r="L200" s="4" t="s">
        <v>44</v>
      </c>
      <c r="M200" s="4" t="s">
        <v>81</v>
      </c>
      <c r="N200" s="4" t="s">
        <v>1703</v>
      </c>
      <c r="O200" s="4" t="s">
        <v>71</v>
      </c>
      <c r="P200" s="6">
        <v>46235</v>
      </c>
      <c r="Q200" s="6">
        <v>46235</v>
      </c>
      <c r="R200" s="5">
        <v>1</v>
      </c>
      <c r="S200" s="5" t="s">
        <v>82</v>
      </c>
      <c r="T200" s="13">
        <v>46265</v>
      </c>
      <c r="U200" s="13">
        <v>46265</v>
      </c>
      <c r="V200" s="5">
        <v>0</v>
      </c>
      <c r="W200" s="22">
        <f>_xlfn.LET(
_xlpm.H,Table1[[#This Row],[Thời hạn mới nhất (Date)]],
_xlpm.S,Table1[[#This Row],[Snapshot]],
IF(
    ISNUMBER(_xlpm.H),
    INT(_xlpm.H)-INT(_xlpm.S),
    "Không giao thời hạn"
))</f>
        <v>-10</v>
      </c>
      <c r="X200" s="4" t="s">
        <v>83</v>
      </c>
      <c r="Y200" s="5"/>
      <c r="Z200" s="5" t="s">
        <v>35</v>
      </c>
      <c r="AA200" s="5"/>
      <c r="AB200" s="4"/>
      <c r="AC200" s="6"/>
      <c r="AD200" s="6"/>
      <c r="AE200" s="4">
        <v>0</v>
      </c>
      <c r="AF200" s="26" t="str">
        <f>_xlfn.LET(
_xlpm.H,Table1[[#This Row],[Thời hạn mới nhất (Date)]],
_xlpm.D,Table1[[#This Row],[Dự kiến mới nhất (Date)]],
IF(
NOT(ISNUMBER(_xlpm.H)),"Không giao thời hạn",
IF(
NOT(ISNUMBER(_xlpm.D)),"Chưa có dự kiến",
_xlpm.D-_xlpm.H
)))</f>
        <v>Chưa có dự kiến</v>
      </c>
    </row>
    <row r="201" spans="1:32" ht="116.6" x14ac:dyDescent="0.4">
      <c r="A201" s="44">
        <v>46282</v>
      </c>
      <c r="B201" s="4" t="s">
        <v>917</v>
      </c>
      <c r="C201" s="5" t="s">
        <v>297</v>
      </c>
      <c r="D201" s="5">
        <v>23</v>
      </c>
      <c r="E201" s="5" t="str">
        <f>_xlfn.TEXTJOIN("+",TRUE,Table1[[#This Row],[Snapshot]:[ID]])</f>
        <v>46282+DIR-6C5F7EE1E765</v>
      </c>
      <c r="F201" s="5"/>
      <c r="G201" s="5" t="s">
        <v>1285</v>
      </c>
      <c r="H201" s="20" t="s">
        <v>1284</v>
      </c>
      <c r="I201" s="5" t="s">
        <v>97</v>
      </c>
      <c r="J201" s="4" t="s">
        <v>30</v>
      </c>
      <c r="K201" s="4" t="str" cm="1">
        <f t="array" ref="K20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201" s="4" t="s">
        <v>297</v>
      </c>
      <c r="M201" s="4" t="s">
        <v>918</v>
      </c>
      <c r="N201" s="4" t="s">
        <v>1719</v>
      </c>
      <c r="O201" s="4" t="s">
        <v>906</v>
      </c>
      <c r="P201" s="6">
        <v>46277</v>
      </c>
      <c r="Q201" s="6">
        <v>46277</v>
      </c>
      <c r="R201" s="5">
        <v>1</v>
      </c>
      <c r="S201" s="5" t="s">
        <v>919</v>
      </c>
      <c r="T201" s="13">
        <v>46279</v>
      </c>
      <c r="U201" s="13">
        <v>46279</v>
      </c>
      <c r="V201" s="5">
        <v>0</v>
      </c>
      <c r="W201" s="22">
        <f>_xlfn.LET(
_xlpm.H,Table1[[#This Row],[Thời hạn mới nhất (Date)]],
_xlpm.S,Table1[[#This Row],[Snapshot]],
IF(
    ISNUMBER(_xlpm.H),
    INT(_xlpm.H)-INT(_xlpm.S),
    "Không giao thời hạn"
))</f>
        <v>-3</v>
      </c>
      <c r="X201" s="4" t="s">
        <v>920</v>
      </c>
      <c r="Y201" s="5"/>
      <c r="Z201" s="5" t="s">
        <v>35</v>
      </c>
      <c r="AA201" s="5"/>
      <c r="AB201" s="4" t="s">
        <v>50</v>
      </c>
      <c r="AC201" s="6"/>
      <c r="AD201" s="6"/>
      <c r="AE201" s="4">
        <v>0</v>
      </c>
      <c r="AF201" s="26" t="str">
        <f>_xlfn.LET(
_xlpm.H,Table1[[#This Row],[Thời hạn mới nhất (Date)]],
_xlpm.D,Table1[[#This Row],[Dự kiến mới nhất (Date)]],
IF(
NOT(ISNUMBER(_xlpm.H)),"Không giao thời hạn",
IF(
NOT(ISNUMBER(_xlpm.D)),"Chưa có dự kiến",
_xlpm.D-_xlpm.H
)))</f>
        <v>Chưa có dự kiến</v>
      </c>
    </row>
    <row r="202" spans="1:32" ht="160.30000000000001" x14ac:dyDescent="0.4">
      <c r="A202" s="44">
        <v>46275</v>
      </c>
      <c r="B202" s="4" t="s">
        <v>894</v>
      </c>
      <c r="C202" s="5" t="s">
        <v>888</v>
      </c>
      <c r="D202" s="5">
        <v>15</v>
      </c>
      <c r="E202" s="5" t="str">
        <f>_xlfn.TEXTJOIN("+",TRUE,Table1[[#This Row],[Snapshot]:[ID]])</f>
        <v>46275+DIR-6C9BD4210542</v>
      </c>
      <c r="F202" s="5"/>
      <c r="G202" s="5" t="s">
        <v>1886</v>
      </c>
      <c r="H202" s="20" t="s">
        <v>1887</v>
      </c>
      <c r="I202" s="5" t="s">
        <v>57</v>
      </c>
      <c r="J202" s="4" t="s">
        <v>30</v>
      </c>
      <c r="K202" s="4" t="str" cm="1">
        <f t="array" ref="K20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202" s="4" t="s">
        <v>888</v>
      </c>
      <c r="M202" s="4" t="s">
        <v>372</v>
      </c>
      <c r="N202" s="4" t="s">
        <v>1711</v>
      </c>
      <c r="O202" s="4" t="s">
        <v>275</v>
      </c>
      <c r="P202" s="6">
        <v>46256</v>
      </c>
      <c r="Q202" s="6">
        <v>46256</v>
      </c>
      <c r="R202" s="5">
        <v>1</v>
      </c>
      <c r="S202" s="5" t="s">
        <v>373</v>
      </c>
      <c r="T202" s="13">
        <v>46260</v>
      </c>
      <c r="U202" s="13">
        <v>46260</v>
      </c>
      <c r="V202" s="5">
        <v>0</v>
      </c>
      <c r="W202" s="22">
        <f>_xlfn.LET(
_xlpm.H,Table1[[#This Row],[Thời hạn mới nhất (Date)]],
_xlpm.S,Table1[[#This Row],[Snapshot]],
IF(
    ISNUMBER(_xlpm.H),
    INT(_xlpm.H)-INT(_xlpm.S),
    "Không giao thời hạn"
))</f>
        <v>-15</v>
      </c>
      <c r="X202" s="4" t="s">
        <v>895</v>
      </c>
      <c r="Y202" s="5"/>
      <c r="Z202" s="5"/>
      <c r="AA202" s="5" t="s">
        <v>35</v>
      </c>
      <c r="AB202" s="4"/>
      <c r="AC202" s="6"/>
      <c r="AD202" s="6"/>
      <c r="AE202" s="4">
        <v>0</v>
      </c>
      <c r="AF202" s="26" t="str">
        <f>_xlfn.LET(
_xlpm.H,Table1[[#This Row],[Thời hạn mới nhất (Date)]],
_xlpm.D,Table1[[#This Row],[Dự kiến mới nhất (Date)]],
IF(
NOT(ISNUMBER(_xlpm.H)),"Không giao thời hạn",
IF(
NOT(ISNUMBER(_xlpm.D)),"Chưa có dự kiến",
_xlpm.D-_xlpm.H
)))</f>
        <v>Chưa có dự kiến</v>
      </c>
    </row>
    <row r="203" spans="1:32" ht="409.6" x14ac:dyDescent="0.4">
      <c r="A203" s="44">
        <v>46282</v>
      </c>
      <c r="B203" s="4" t="s">
        <v>468</v>
      </c>
      <c r="C203" s="5" t="s">
        <v>469</v>
      </c>
      <c r="D203" s="5">
        <v>13</v>
      </c>
      <c r="E203" s="5" t="str">
        <f>_xlfn.TEXTJOIN("+",TRUE,Table1[[#This Row],[Snapshot]:[ID]])</f>
        <v>46282+DIR-6E219738CF7A</v>
      </c>
      <c r="F203" s="5"/>
      <c r="G203" s="5" t="s">
        <v>1640</v>
      </c>
      <c r="H203" s="20" t="s">
        <v>1641</v>
      </c>
      <c r="I203" s="5" t="s">
        <v>45</v>
      </c>
      <c r="J203" s="4" t="s">
        <v>30</v>
      </c>
      <c r="K203" s="4" t="str" cm="1">
        <f t="array" ref="K20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203" s="4" t="s">
        <v>469</v>
      </c>
      <c r="M203" s="4" t="s">
        <v>470</v>
      </c>
      <c r="N203" s="4" t="s">
        <v>1713</v>
      </c>
      <c r="O203" s="4" t="s">
        <v>127</v>
      </c>
      <c r="P203" s="6">
        <v>46160</v>
      </c>
      <c r="Q203" s="6">
        <v>46160</v>
      </c>
      <c r="R203" s="5">
        <v>1</v>
      </c>
      <c r="S203" s="5" t="s">
        <v>471</v>
      </c>
      <c r="T203" s="13">
        <v>46198</v>
      </c>
      <c r="U203" s="13">
        <v>46198</v>
      </c>
      <c r="V203" s="5">
        <v>0</v>
      </c>
      <c r="W203" s="22">
        <f>_xlfn.LET(
_xlpm.H,Table1[[#This Row],[Thời hạn mới nhất (Date)]],
_xlpm.S,Table1[[#This Row],[Snapshot]],
IF(
    ISNUMBER(_xlpm.H),
    INT(_xlpm.H)-INT(_xlpm.S),
    "Không giao thời hạn"
))</f>
        <v>-84</v>
      </c>
      <c r="X203" s="4" t="s">
        <v>943</v>
      </c>
      <c r="Y203" s="5"/>
      <c r="Z203" s="5" t="s">
        <v>35</v>
      </c>
      <c r="AA203" s="5"/>
      <c r="AB203" s="4" t="s">
        <v>473</v>
      </c>
      <c r="AC203" s="6"/>
      <c r="AD203" s="6"/>
      <c r="AE203" s="4">
        <v>0</v>
      </c>
      <c r="AF203" s="26" t="str">
        <f>_xlfn.LET(
_xlpm.H,Table1[[#This Row],[Thời hạn mới nhất (Date)]],
_xlpm.D,Table1[[#This Row],[Dự kiến mới nhất (Date)]],
IF(
NOT(ISNUMBER(_xlpm.H)),"Không giao thời hạn",
IF(
NOT(ISNUMBER(_xlpm.D)),"Chưa có dự kiến",
_xlpm.D-_xlpm.H
)))</f>
        <v>Chưa có dự kiến</v>
      </c>
    </row>
    <row r="204" spans="1:32" ht="409.6" x14ac:dyDescent="0.4">
      <c r="A204" s="44">
        <v>46275</v>
      </c>
      <c r="B204" s="4" t="s">
        <v>468</v>
      </c>
      <c r="C204" s="5" t="s">
        <v>469</v>
      </c>
      <c r="D204" s="5">
        <v>13</v>
      </c>
      <c r="E204" s="5" t="str">
        <f>_xlfn.TEXTJOIN("+",TRUE,Table1[[#This Row],[Snapshot]:[ID]])</f>
        <v>46275+DIR-6E219738CF7A</v>
      </c>
      <c r="F204" s="5"/>
      <c r="G204" s="5" t="s">
        <v>1642</v>
      </c>
      <c r="H204" s="20" t="s">
        <v>1643</v>
      </c>
      <c r="I204" s="5" t="s">
        <v>45</v>
      </c>
      <c r="J204" s="4" t="s">
        <v>30</v>
      </c>
      <c r="K204" s="4" t="str" cm="1">
        <f t="array" ref="K20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204" s="4" t="s">
        <v>469</v>
      </c>
      <c r="M204" s="4" t="s">
        <v>470</v>
      </c>
      <c r="N204" s="4" t="s">
        <v>1713</v>
      </c>
      <c r="O204" s="4" t="s">
        <v>127</v>
      </c>
      <c r="P204" s="6">
        <v>46160</v>
      </c>
      <c r="Q204" s="6">
        <v>46160</v>
      </c>
      <c r="R204" s="5">
        <v>1</v>
      </c>
      <c r="S204" s="5" t="s">
        <v>471</v>
      </c>
      <c r="T204" s="13">
        <v>46198</v>
      </c>
      <c r="U204" s="13">
        <v>46198</v>
      </c>
      <c r="V204" s="5">
        <v>0</v>
      </c>
      <c r="W204" s="22">
        <f>_xlfn.LET(
_xlpm.H,Table1[[#This Row],[Thời hạn mới nhất (Date)]],
_xlpm.S,Table1[[#This Row],[Snapshot]],
IF(
    ISNUMBER(_xlpm.H),
    INT(_xlpm.H)-INT(_xlpm.S),
    "Không giao thời hạn"
))</f>
        <v>-77</v>
      </c>
      <c r="X204" s="4" t="s">
        <v>472</v>
      </c>
      <c r="Y204" s="5"/>
      <c r="Z204" s="5" t="s">
        <v>35</v>
      </c>
      <c r="AA204" s="5"/>
      <c r="AB204" s="4" t="s">
        <v>473</v>
      </c>
      <c r="AC204" s="6"/>
      <c r="AD204" s="6"/>
      <c r="AE204" s="4">
        <v>0</v>
      </c>
      <c r="AF204" s="26" t="str">
        <f>_xlfn.LET(
_xlpm.H,Table1[[#This Row],[Thời hạn mới nhất (Date)]],
_xlpm.D,Table1[[#This Row],[Dự kiến mới nhất (Date)]],
IF(
NOT(ISNUMBER(_xlpm.H)),"Không giao thời hạn",
IF(
NOT(ISNUMBER(_xlpm.D)),"Chưa có dự kiến",
_xlpm.D-_xlpm.H
)))</f>
        <v>Chưa có dự kiến</v>
      </c>
    </row>
    <row r="205" spans="1:32" ht="160.30000000000001" x14ac:dyDescent="0.4">
      <c r="A205" s="44">
        <v>46282</v>
      </c>
      <c r="B205" s="4" t="s">
        <v>351</v>
      </c>
      <c r="C205" s="5" t="s">
        <v>352</v>
      </c>
      <c r="D205" s="5">
        <v>13</v>
      </c>
      <c r="E205" s="5" t="str">
        <f>_xlfn.TEXTJOIN("+",TRUE,Table1[[#This Row],[Snapshot]:[ID]])</f>
        <v>46282+DIR-6E69F38575D0</v>
      </c>
      <c r="F205" s="5"/>
      <c r="G205" s="5" t="s">
        <v>1888</v>
      </c>
      <c r="H205" s="20" t="s">
        <v>1889</v>
      </c>
      <c r="I205" s="5" t="s">
        <v>45</v>
      </c>
      <c r="J205" s="4" t="s">
        <v>30</v>
      </c>
      <c r="K205" s="4" t="str" cm="1">
        <f t="array" ref="K20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36. Chất lượng Dịch vụ và 5S</v>
      </c>
      <c r="L205" s="4" t="s">
        <v>352</v>
      </c>
      <c r="M205" s="4" t="s">
        <v>353</v>
      </c>
      <c r="N205" s="4" t="s">
        <v>1702</v>
      </c>
      <c r="O205" s="4" t="s">
        <v>132</v>
      </c>
      <c r="P205" s="6">
        <v>46174</v>
      </c>
      <c r="Q205" s="6">
        <v>46174</v>
      </c>
      <c r="R205" s="5">
        <v>1</v>
      </c>
      <c r="S205" s="5" t="s">
        <v>354</v>
      </c>
      <c r="T205" s="13">
        <v>46203</v>
      </c>
      <c r="U205" s="13">
        <v>46203</v>
      </c>
      <c r="V205" s="5">
        <v>0</v>
      </c>
      <c r="W205" s="22">
        <f>_xlfn.LET(
_xlpm.H,Table1[[#This Row],[Thời hạn mới nhất (Date)]],
_xlpm.S,Table1[[#This Row],[Snapshot]],
IF(
    ISNUMBER(_xlpm.H),
    INT(_xlpm.H)-INT(_xlpm.S),
    "Không giao thời hạn"
))</f>
        <v>-79</v>
      </c>
      <c r="X205" s="4" t="s">
        <v>355</v>
      </c>
      <c r="Y205" s="5"/>
      <c r="Z205" s="5" t="s">
        <v>35</v>
      </c>
      <c r="AA205" s="5"/>
      <c r="AB205" s="4" t="s">
        <v>182</v>
      </c>
      <c r="AC205" s="6">
        <v>46265</v>
      </c>
      <c r="AD205" s="6">
        <v>46295</v>
      </c>
      <c r="AE205" s="4">
        <v>1</v>
      </c>
      <c r="AF205" s="26">
        <f>_xlfn.LET(
_xlpm.H,Table1[[#This Row],[Thời hạn mới nhất (Date)]],
_xlpm.D,Table1[[#This Row],[Dự kiến mới nhất (Date)]],
IF(
NOT(ISNUMBER(_xlpm.H)),"Không giao thời hạn",
IF(
NOT(ISNUMBER(_xlpm.D)),"Chưa có dự kiến",
_xlpm.D-_xlpm.H
)))</f>
        <v>92</v>
      </c>
    </row>
    <row r="206" spans="1:32" ht="174.9" x14ac:dyDescent="0.4">
      <c r="A206" s="44">
        <v>46275</v>
      </c>
      <c r="B206" s="4" t="s">
        <v>351</v>
      </c>
      <c r="C206" s="5" t="s">
        <v>352</v>
      </c>
      <c r="D206" s="5">
        <v>13</v>
      </c>
      <c r="E206" s="5" t="str">
        <f>_xlfn.TEXTJOIN("+",TRUE,Table1[[#This Row],[Snapshot]:[ID]])</f>
        <v>46275+DIR-6E69F38575D0</v>
      </c>
      <c r="F206" s="5"/>
      <c r="G206" s="5" t="s">
        <v>1890</v>
      </c>
      <c r="H206" s="20" t="s">
        <v>1891</v>
      </c>
      <c r="I206" s="5" t="s">
        <v>45</v>
      </c>
      <c r="J206" s="4" t="s">
        <v>30</v>
      </c>
      <c r="K206" s="4" t="str" cm="1">
        <f t="array" ref="K20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36. Chất lượng Dịch vụ và 5S</v>
      </c>
      <c r="L206" s="4" t="s">
        <v>352</v>
      </c>
      <c r="M206" s="4" t="s">
        <v>353</v>
      </c>
      <c r="N206" s="4" t="s">
        <v>1702</v>
      </c>
      <c r="O206" s="4" t="s">
        <v>132</v>
      </c>
      <c r="P206" s="6">
        <v>46174</v>
      </c>
      <c r="Q206" s="6">
        <v>46174</v>
      </c>
      <c r="R206" s="5">
        <v>1</v>
      </c>
      <c r="S206" s="5" t="s">
        <v>354</v>
      </c>
      <c r="T206" s="13">
        <v>46203</v>
      </c>
      <c r="U206" s="13">
        <v>46203</v>
      </c>
      <c r="V206" s="5">
        <v>0</v>
      </c>
      <c r="W206" s="22">
        <f>_xlfn.LET(
_xlpm.H,Table1[[#This Row],[Thời hạn mới nhất (Date)]],
_xlpm.S,Table1[[#This Row],[Snapshot]],
IF(
    ISNUMBER(_xlpm.H),
    INT(_xlpm.H)-INT(_xlpm.S),
    "Không giao thời hạn"
))</f>
        <v>-72</v>
      </c>
      <c r="X206" s="4" t="s">
        <v>355</v>
      </c>
      <c r="Y206" s="5"/>
      <c r="Z206" s="5" t="s">
        <v>35</v>
      </c>
      <c r="AA206" s="5"/>
      <c r="AB206" s="4" t="s">
        <v>82</v>
      </c>
      <c r="AC206" s="6">
        <v>46265</v>
      </c>
      <c r="AD206" s="6">
        <v>46265</v>
      </c>
      <c r="AE206" s="4">
        <v>0</v>
      </c>
      <c r="AF206" s="26">
        <f>_xlfn.LET(
_xlpm.H,Table1[[#This Row],[Thời hạn mới nhất (Date)]],
_xlpm.D,Table1[[#This Row],[Dự kiến mới nhất (Date)]],
IF(
NOT(ISNUMBER(_xlpm.H)),"Không giao thời hạn",
IF(
NOT(ISNUMBER(_xlpm.D)),"Chưa có dự kiến",
_xlpm.D-_xlpm.H
)))</f>
        <v>62</v>
      </c>
    </row>
    <row r="207" spans="1:32" ht="116.6" x14ac:dyDescent="0.4">
      <c r="A207" s="44">
        <v>46282</v>
      </c>
      <c r="B207" s="4" t="s">
        <v>649</v>
      </c>
      <c r="C207" s="5" t="s">
        <v>607</v>
      </c>
      <c r="D207" s="5">
        <v>27</v>
      </c>
      <c r="E207" s="5" t="str">
        <f>_xlfn.TEXTJOIN("+",TRUE,Table1[[#This Row],[Snapshot]:[ID]])</f>
        <v>46282+DIR-6EA4A1EC6502</v>
      </c>
      <c r="F207" s="5"/>
      <c r="G207" s="5" t="s">
        <v>1400</v>
      </c>
      <c r="H207" s="20" t="s">
        <v>1401</v>
      </c>
      <c r="I207" s="5" t="s">
        <v>45</v>
      </c>
      <c r="J207" s="4" t="s">
        <v>200</v>
      </c>
      <c r="K207" s="4" t="str" cm="1">
        <f t="array" ref="K20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207" s="4" t="s">
        <v>607</v>
      </c>
      <c r="M207" s="4" t="s">
        <v>650</v>
      </c>
      <c r="N207" s="4" t="s">
        <v>1700</v>
      </c>
      <c r="O207" s="4" t="s">
        <v>160</v>
      </c>
      <c r="P207" s="6">
        <v>46214</v>
      </c>
      <c r="Q207" s="6">
        <v>46214</v>
      </c>
      <c r="R207" s="5">
        <v>1</v>
      </c>
      <c r="S207" s="5"/>
      <c r="T207" s="13"/>
      <c r="U207" s="13"/>
      <c r="V207" s="5">
        <v>0</v>
      </c>
      <c r="W207" s="22" t="str">
        <f>_xlfn.LET(
_xlpm.H,Table1[[#This Row],[Thời hạn mới nhất (Date)]],
_xlpm.S,Table1[[#This Row],[Snapshot]],
IF(
    ISNUMBER(_xlpm.H),
    INT(_xlpm.H)-INT(_xlpm.S),
    "Không giao thời hạn"
))</f>
        <v>Không giao thời hạn</v>
      </c>
      <c r="X207" s="4" t="s">
        <v>651</v>
      </c>
      <c r="Y207" s="5"/>
      <c r="Z207" s="5" t="s">
        <v>35</v>
      </c>
      <c r="AA207" s="5"/>
      <c r="AB207" s="4" t="s">
        <v>50</v>
      </c>
      <c r="AC207" s="6"/>
      <c r="AD207" s="6"/>
      <c r="AE207" s="4">
        <v>0</v>
      </c>
      <c r="AF207" s="26" t="str">
        <f>_xlfn.LET(
_xlpm.H,Table1[[#This Row],[Thời hạn mới nhất (Date)]],
_xlpm.D,Table1[[#This Row],[Dự kiến mới nhất (Date)]],
IF(
NOT(ISNUMBER(_xlpm.H)),"Không giao thời hạn",
IF(
NOT(ISNUMBER(_xlpm.D)),"Chưa có dự kiến",
_xlpm.D-_xlpm.H
)))</f>
        <v>Không giao thời hạn</v>
      </c>
    </row>
    <row r="208" spans="1:32" ht="116.6" x14ac:dyDescent="0.4">
      <c r="A208" s="44">
        <v>46275</v>
      </c>
      <c r="B208" s="4" t="s">
        <v>649</v>
      </c>
      <c r="C208" s="5" t="s">
        <v>607</v>
      </c>
      <c r="D208" s="5">
        <v>27</v>
      </c>
      <c r="E208" s="5" t="str">
        <f>_xlfn.TEXTJOIN("+",TRUE,Table1[[#This Row],[Snapshot]:[ID]])</f>
        <v>46275+DIR-6EA4A1EC6502</v>
      </c>
      <c r="F208" s="5"/>
      <c r="G208" s="5" t="s">
        <v>1400</v>
      </c>
      <c r="H208" s="20" t="s">
        <v>1401</v>
      </c>
      <c r="I208" s="5" t="s">
        <v>45</v>
      </c>
      <c r="J208" s="4" t="s">
        <v>200</v>
      </c>
      <c r="K208" s="4" t="str" cm="1">
        <f t="array" ref="K20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208" s="4" t="s">
        <v>607</v>
      </c>
      <c r="M208" s="4" t="s">
        <v>650</v>
      </c>
      <c r="N208" s="4" t="s">
        <v>1700</v>
      </c>
      <c r="O208" s="4" t="s">
        <v>160</v>
      </c>
      <c r="P208" s="6">
        <v>46214</v>
      </c>
      <c r="Q208" s="6">
        <v>46214</v>
      </c>
      <c r="R208" s="5">
        <v>1</v>
      </c>
      <c r="S208" s="5"/>
      <c r="T208" s="13"/>
      <c r="U208" s="13"/>
      <c r="V208" s="5">
        <v>0</v>
      </c>
      <c r="W208" s="22" t="str">
        <f>_xlfn.LET(
_xlpm.H,Table1[[#This Row],[Thời hạn mới nhất (Date)]],
_xlpm.S,Table1[[#This Row],[Snapshot]],
IF(
    ISNUMBER(_xlpm.H),
    INT(_xlpm.H)-INT(_xlpm.S),
    "Không giao thời hạn"
))</f>
        <v>Không giao thời hạn</v>
      </c>
      <c r="X208" s="4" t="s">
        <v>651</v>
      </c>
      <c r="Y208" s="5"/>
      <c r="Z208" s="5" t="s">
        <v>35</v>
      </c>
      <c r="AA208" s="5"/>
      <c r="AB208" s="4" t="s">
        <v>50</v>
      </c>
      <c r="AC208" s="6"/>
      <c r="AD208" s="6"/>
      <c r="AE208" s="4">
        <v>0</v>
      </c>
      <c r="AF208" s="26" t="str">
        <f>_xlfn.LET(
_xlpm.H,Table1[[#This Row],[Thời hạn mới nhất (Date)]],
_xlpm.D,Table1[[#This Row],[Dự kiến mới nhất (Date)]],
IF(
NOT(ISNUMBER(_xlpm.H)),"Không giao thời hạn",
IF(
NOT(ISNUMBER(_xlpm.D)),"Chưa có dự kiến",
_xlpm.D-_xlpm.H
)))</f>
        <v>Không giao thời hạn</v>
      </c>
    </row>
    <row r="209" spans="1:32" ht="160.30000000000001" x14ac:dyDescent="0.4">
      <c r="A209" s="44">
        <v>46282</v>
      </c>
      <c r="B209" s="4" t="s">
        <v>880</v>
      </c>
      <c r="C209" s="5" t="s">
        <v>877</v>
      </c>
      <c r="D209" s="5">
        <v>14</v>
      </c>
      <c r="E209" s="5" t="str">
        <f>_xlfn.TEXTJOIN("+",TRUE,Table1[[#This Row],[Snapshot]:[ID]])</f>
        <v>46282+DIR-706E67C96866</v>
      </c>
      <c r="F209" s="5"/>
      <c r="G209" s="5" t="s">
        <v>1644</v>
      </c>
      <c r="H209" s="20" t="s">
        <v>1645</v>
      </c>
      <c r="I209" s="5" t="s">
        <v>52</v>
      </c>
      <c r="J209" s="4" t="s">
        <v>30</v>
      </c>
      <c r="K209" s="4" t="str" cm="1">
        <f t="array" ref="K20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209" s="4" t="s">
        <v>877</v>
      </c>
      <c r="M209" s="4" t="s">
        <v>881</v>
      </c>
      <c r="N209" s="4" t="s">
        <v>1720</v>
      </c>
      <c r="O209" s="4" t="s">
        <v>149</v>
      </c>
      <c r="P209" s="6">
        <v>46195</v>
      </c>
      <c r="Q209" s="6">
        <v>46195</v>
      </c>
      <c r="R209" s="5">
        <v>1</v>
      </c>
      <c r="S209" s="5" t="s">
        <v>882</v>
      </c>
      <c r="T209" s="13">
        <v>46198</v>
      </c>
      <c r="U209" s="13">
        <v>46198</v>
      </c>
      <c r="V209" s="5">
        <v>0</v>
      </c>
      <c r="W209" s="22">
        <f>_xlfn.LET(
_xlpm.H,Table1[[#This Row],[Thời hạn mới nhất (Date)]],
_xlpm.S,Table1[[#This Row],[Snapshot]],
IF(
    ISNUMBER(_xlpm.H),
    INT(_xlpm.H)-INT(_xlpm.S),
    "Không giao thời hạn"
))</f>
        <v>-84</v>
      </c>
      <c r="X209" s="4" t="s">
        <v>883</v>
      </c>
      <c r="Y209" s="5"/>
      <c r="Z209" s="5"/>
      <c r="AA209" s="5" t="s">
        <v>35</v>
      </c>
      <c r="AB209" s="4"/>
      <c r="AC209" s="6"/>
      <c r="AD209" s="6"/>
      <c r="AE209" s="4">
        <v>0</v>
      </c>
      <c r="AF209" s="26" t="str">
        <f>_xlfn.LET(
_xlpm.H,Table1[[#This Row],[Thời hạn mới nhất (Date)]],
_xlpm.D,Table1[[#This Row],[Dự kiến mới nhất (Date)]],
IF(
NOT(ISNUMBER(_xlpm.H)),"Không giao thời hạn",
IF(
NOT(ISNUMBER(_xlpm.D)),"Chưa có dự kiến",
_xlpm.D-_xlpm.H
)))</f>
        <v>Chưa có dự kiến</v>
      </c>
    </row>
    <row r="210" spans="1:32" ht="160.30000000000001" x14ac:dyDescent="0.4">
      <c r="A210" s="44">
        <v>46275</v>
      </c>
      <c r="B210" s="4" t="s">
        <v>880</v>
      </c>
      <c r="C210" s="5" t="s">
        <v>877</v>
      </c>
      <c r="D210" s="5">
        <v>14</v>
      </c>
      <c r="E210" s="5" t="str">
        <f>_xlfn.TEXTJOIN("+",TRUE,Table1[[#This Row],[Snapshot]:[ID]])</f>
        <v>46275+DIR-706E67C96866</v>
      </c>
      <c r="F210" s="5"/>
      <c r="G210" s="5" t="s">
        <v>1646</v>
      </c>
      <c r="H210" s="20" t="s">
        <v>1647</v>
      </c>
      <c r="I210" s="5" t="s">
        <v>52</v>
      </c>
      <c r="J210" s="4" t="s">
        <v>30</v>
      </c>
      <c r="K210" s="4" t="str" cm="1">
        <f t="array" ref="K21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210" s="4" t="s">
        <v>877</v>
      </c>
      <c r="M210" s="4" t="s">
        <v>881</v>
      </c>
      <c r="N210" s="4" t="s">
        <v>1720</v>
      </c>
      <c r="O210" s="4" t="s">
        <v>149</v>
      </c>
      <c r="P210" s="6">
        <v>46195</v>
      </c>
      <c r="Q210" s="6">
        <v>46195</v>
      </c>
      <c r="R210" s="5">
        <v>1</v>
      </c>
      <c r="S210" s="5" t="s">
        <v>882</v>
      </c>
      <c r="T210" s="13">
        <v>46198</v>
      </c>
      <c r="U210" s="13">
        <v>46198</v>
      </c>
      <c r="V210" s="5">
        <v>0</v>
      </c>
      <c r="W210" s="22">
        <f>_xlfn.LET(
_xlpm.H,Table1[[#This Row],[Thời hạn mới nhất (Date)]],
_xlpm.S,Table1[[#This Row],[Snapshot]],
IF(
    ISNUMBER(_xlpm.H),
    INT(_xlpm.H)-INT(_xlpm.S),
    "Không giao thời hạn"
))</f>
        <v>-77</v>
      </c>
      <c r="X210" s="4" t="s">
        <v>883</v>
      </c>
      <c r="Y210" s="5"/>
      <c r="Z210" s="5"/>
      <c r="AA210" s="5" t="s">
        <v>35</v>
      </c>
      <c r="AB210" s="4"/>
      <c r="AC210" s="6"/>
      <c r="AD210" s="6"/>
      <c r="AE210" s="4">
        <v>0</v>
      </c>
      <c r="AF210" s="26" t="str">
        <f>_xlfn.LET(
_xlpm.H,Table1[[#This Row],[Thời hạn mới nhất (Date)]],
_xlpm.D,Table1[[#This Row],[Dự kiến mới nhất (Date)]],
IF(
NOT(ISNUMBER(_xlpm.H)),"Không giao thời hạn",
IF(
NOT(ISNUMBER(_xlpm.D)),"Chưa có dự kiến",
_xlpm.D-_xlpm.H
)))</f>
        <v>Chưa có dự kiến</v>
      </c>
    </row>
    <row r="211" spans="1:32" ht="218.6" x14ac:dyDescent="0.4">
      <c r="A211" s="44">
        <v>46282</v>
      </c>
      <c r="B211" s="4" t="s">
        <v>789</v>
      </c>
      <c r="C211" s="5" t="s">
        <v>688</v>
      </c>
      <c r="D211" s="5">
        <v>47</v>
      </c>
      <c r="E211" s="5" t="str">
        <f>_xlfn.TEXTJOIN("+",TRUE,Table1[[#This Row],[Snapshot]:[ID]])</f>
        <v>46282+DIR-70DA7D36D218</v>
      </c>
      <c r="F211" s="5"/>
      <c r="G211" s="5" t="s">
        <v>1892</v>
      </c>
      <c r="H211" s="20" t="s">
        <v>1893</v>
      </c>
      <c r="I211" s="5" t="s">
        <v>787</v>
      </c>
      <c r="J211" s="4" t="s">
        <v>689</v>
      </c>
      <c r="K211" s="4" t="str" cm="1">
        <f t="array" ref="K21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211" s="4" t="s">
        <v>688</v>
      </c>
      <c r="M211" s="4" t="s">
        <v>368</v>
      </c>
      <c r="N211" s="4" t="s">
        <v>1696</v>
      </c>
      <c r="O211" s="4" t="s">
        <v>275</v>
      </c>
      <c r="P211" s="6">
        <v>46256</v>
      </c>
      <c r="Q211" s="6">
        <v>46256</v>
      </c>
      <c r="R211" s="5">
        <v>1</v>
      </c>
      <c r="S211" s="5" t="s">
        <v>369</v>
      </c>
      <c r="T211" s="13">
        <v>46387</v>
      </c>
      <c r="U211" s="13">
        <v>46387</v>
      </c>
      <c r="V211" s="5">
        <v>0</v>
      </c>
      <c r="W211" s="22">
        <f>_xlfn.LET(
_xlpm.H,Table1[[#This Row],[Thời hạn mới nhất (Date)]],
_xlpm.S,Table1[[#This Row],[Snapshot]],
IF(
    ISNUMBER(_xlpm.H),
    INT(_xlpm.H)-INT(_xlpm.S),
    "Không giao thời hạn"
))</f>
        <v>105</v>
      </c>
      <c r="X211" s="4" t="s">
        <v>791</v>
      </c>
      <c r="Y211" s="5"/>
      <c r="Z211" s="5" t="s">
        <v>35</v>
      </c>
      <c r="AA211" s="5"/>
      <c r="AB211" s="4" t="s">
        <v>77</v>
      </c>
      <c r="AC211" s="6">
        <v>46295</v>
      </c>
      <c r="AD211" s="6">
        <v>46295</v>
      </c>
      <c r="AE211" s="4">
        <v>0</v>
      </c>
      <c r="AF211" s="26">
        <f>_xlfn.LET(
_xlpm.H,Table1[[#This Row],[Thời hạn mới nhất (Date)]],
_xlpm.D,Table1[[#This Row],[Dự kiến mới nhất (Date)]],
IF(
NOT(ISNUMBER(_xlpm.H)),"Không giao thời hạn",
IF(
NOT(ISNUMBER(_xlpm.D)),"Chưa có dự kiến",
_xlpm.D-_xlpm.H
)))</f>
        <v>-92</v>
      </c>
    </row>
    <row r="212" spans="1:32" ht="218.6" x14ac:dyDescent="0.4">
      <c r="A212" s="44">
        <v>46275</v>
      </c>
      <c r="B212" s="4" t="s">
        <v>789</v>
      </c>
      <c r="C212" s="5" t="s">
        <v>688</v>
      </c>
      <c r="D212" s="5">
        <v>48</v>
      </c>
      <c r="E212" s="5" t="str">
        <f>_xlfn.TEXTJOIN("+",TRUE,Table1[[#This Row],[Snapshot]:[ID]])</f>
        <v>46275+DIR-70DA7D36D218</v>
      </c>
      <c r="F212" s="5"/>
      <c r="G212" s="5" t="s">
        <v>1894</v>
      </c>
      <c r="H212" s="20" t="s">
        <v>1895</v>
      </c>
      <c r="I212" s="5" t="s">
        <v>790</v>
      </c>
      <c r="J212" s="4" t="s">
        <v>689</v>
      </c>
      <c r="K212" s="4" t="str" cm="1">
        <f t="array" ref="K21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212" s="4" t="s">
        <v>688</v>
      </c>
      <c r="M212" s="4" t="s">
        <v>368</v>
      </c>
      <c r="N212" s="4" t="s">
        <v>1696</v>
      </c>
      <c r="O212" s="4" t="s">
        <v>275</v>
      </c>
      <c r="P212" s="6">
        <v>46256</v>
      </c>
      <c r="Q212" s="6">
        <v>46256</v>
      </c>
      <c r="R212" s="5">
        <v>1</v>
      </c>
      <c r="S212" s="5" t="s">
        <v>369</v>
      </c>
      <c r="T212" s="13">
        <v>46387</v>
      </c>
      <c r="U212" s="13">
        <v>46387</v>
      </c>
      <c r="V212" s="5">
        <v>0</v>
      </c>
      <c r="W212" s="22">
        <f>_xlfn.LET(
_xlpm.H,Table1[[#This Row],[Thời hạn mới nhất (Date)]],
_xlpm.S,Table1[[#This Row],[Snapshot]],
IF(
    ISNUMBER(_xlpm.H),
    INT(_xlpm.H)-INT(_xlpm.S),
    "Không giao thời hạn"
))</f>
        <v>112</v>
      </c>
      <c r="X212" s="4" t="s">
        <v>791</v>
      </c>
      <c r="Y212" s="5"/>
      <c r="Z212" s="5" t="s">
        <v>35</v>
      </c>
      <c r="AA212" s="5"/>
      <c r="AB212" s="4" t="s">
        <v>77</v>
      </c>
      <c r="AC212" s="6">
        <v>46295</v>
      </c>
      <c r="AD212" s="6">
        <v>46295</v>
      </c>
      <c r="AE212" s="4">
        <v>0</v>
      </c>
      <c r="AF212" s="26">
        <f>_xlfn.LET(
_xlpm.H,Table1[[#This Row],[Thời hạn mới nhất (Date)]],
_xlpm.D,Table1[[#This Row],[Dự kiến mới nhất (Date)]],
IF(
NOT(ISNUMBER(_xlpm.H)),"Không giao thời hạn",
IF(
NOT(ISNUMBER(_xlpm.D)),"Chưa có dự kiến",
_xlpm.D-_xlpm.H
)))</f>
        <v>-92</v>
      </c>
    </row>
    <row r="213" spans="1:32" ht="145.75" x14ac:dyDescent="0.4">
      <c r="A213" s="44">
        <v>46282</v>
      </c>
      <c r="B213" s="4" t="s">
        <v>451</v>
      </c>
      <c r="C213" s="5" t="s">
        <v>352</v>
      </c>
      <c r="D213" s="5">
        <v>39</v>
      </c>
      <c r="E213" s="5" t="str">
        <f>_xlfn.TEXTJOIN("+",TRUE,Table1[[#This Row],[Snapshot]:[ID]])</f>
        <v>46282+DIR-7235B3DDFCFE</v>
      </c>
      <c r="F213" s="5"/>
      <c r="G213" s="5" t="s">
        <v>1896</v>
      </c>
      <c r="H213" s="20" t="s">
        <v>1897</v>
      </c>
      <c r="I213" s="5" t="s">
        <v>69</v>
      </c>
      <c r="J213" s="4" t="s">
        <v>200</v>
      </c>
      <c r="K213" s="4" t="str" cm="1">
        <f t="array" ref="K21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213" s="4" t="s">
        <v>352</v>
      </c>
      <c r="M213" s="4" t="s">
        <v>452</v>
      </c>
      <c r="N213" s="4" t="s">
        <v>1702</v>
      </c>
      <c r="O213" s="4" t="s">
        <v>453</v>
      </c>
      <c r="P213" s="6">
        <v>45982</v>
      </c>
      <c r="Q213" s="6">
        <v>45982</v>
      </c>
      <c r="R213" s="5">
        <v>1</v>
      </c>
      <c r="S213" s="5"/>
      <c r="T213" s="13"/>
      <c r="U213" s="13"/>
      <c r="V213" s="5">
        <v>0</v>
      </c>
      <c r="W213" s="22" t="str">
        <f>_xlfn.LET(
_xlpm.H,Table1[[#This Row],[Thời hạn mới nhất (Date)]],
_xlpm.S,Table1[[#This Row],[Snapshot]],
IF(
    ISNUMBER(_xlpm.H),
    INT(_xlpm.H)-INT(_xlpm.S),
    "Không giao thời hạn"
))</f>
        <v>Không giao thời hạn</v>
      </c>
      <c r="X213" s="4" t="s">
        <v>942</v>
      </c>
      <c r="Y213" s="5"/>
      <c r="Z213" s="5" t="s">
        <v>35</v>
      </c>
      <c r="AA213" s="5"/>
      <c r="AB213" s="4" t="s">
        <v>77</v>
      </c>
      <c r="AC213" s="6">
        <v>46295</v>
      </c>
      <c r="AD213" s="6">
        <v>46295</v>
      </c>
      <c r="AE213" s="4">
        <v>0</v>
      </c>
      <c r="AF213" s="26" t="str">
        <f>_xlfn.LET(
_xlpm.H,Table1[[#This Row],[Thời hạn mới nhất (Date)]],
_xlpm.D,Table1[[#This Row],[Dự kiến mới nhất (Date)]],
IF(
NOT(ISNUMBER(_xlpm.H)),"Không giao thời hạn",
IF(
NOT(ISNUMBER(_xlpm.D)),"Chưa có dự kiến",
_xlpm.D-_xlpm.H
)))</f>
        <v>Không giao thời hạn</v>
      </c>
    </row>
    <row r="214" spans="1:32" ht="145.75" x14ac:dyDescent="0.4">
      <c r="A214" s="44">
        <v>46275</v>
      </c>
      <c r="B214" s="4" t="s">
        <v>451</v>
      </c>
      <c r="C214" s="5" t="s">
        <v>352</v>
      </c>
      <c r="D214" s="5">
        <v>40</v>
      </c>
      <c r="E214" s="5" t="str">
        <f>_xlfn.TEXTJOIN("+",TRUE,Table1[[#This Row],[Snapshot]:[ID]])</f>
        <v>46275+DIR-7235B3DDFCFE</v>
      </c>
      <c r="F214" s="5"/>
      <c r="G214" s="5" t="s">
        <v>1898</v>
      </c>
      <c r="H214" s="20" t="s">
        <v>1899</v>
      </c>
      <c r="I214" s="5" t="s">
        <v>69</v>
      </c>
      <c r="J214" s="4" t="s">
        <v>200</v>
      </c>
      <c r="K214" s="4" t="str" cm="1">
        <f t="array" ref="K21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214" s="4" t="s">
        <v>352</v>
      </c>
      <c r="M214" s="4" t="s">
        <v>452</v>
      </c>
      <c r="N214" s="4" t="s">
        <v>1702</v>
      </c>
      <c r="O214" s="4" t="s">
        <v>453</v>
      </c>
      <c r="P214" s="6">
        <v>45982</v>
      </c>
      <c r="Q214" s="6">
        <v>45982</v>
      </c>
      <c r="R214" s="5">
        <v>1</v>
      </c>
      <c r="S214" s="5"/>
      <c r="T214" s="13"/>
      <c r="U214" s="13"/>
      <c r="V214" s="5">
        <v>0</v>
      </c>
      <c r="W214" s="22" t="str">
        <f>_xlfn.LET(
_xlpm.H,Table1[[#This Row],[Thời hạn mới nhất (Date)]],
_xlpm.S,Table1[[#This Row],[Snapshot]],
IF(
    ISNUMBER(_xlpm.H),
    INT(_xlpm.H)-INT(_xlpm.S),
    "Không giao thời hạn"
))</f>
        <v>Không giao thời hạn</v>
      </c>
      <c r="X214" s="4" t="s">
        <v>454</v>
      </c>
      <c r="Y214" s="5"/>
      <c r="Z214" s="5" t="s">
        <v>35</v>
      </c>
      <c r="AA214" s="5"/>
      <c r="AB214" s="4" t="s">
        <v>77</v>
      </c>
      <c r="AC214" s="6">
        <v>46295</v>
      </c>
      <c r="AD214" s="6">
        <v>46295</v>
      </c>
      <c r="AE214" s="4">
        <v>0</v>
      </c>
      <c r="AF214" s="26" t="str">
        <f>_xlfn.LET(
_xlpm.H,Table1[[#This Row],[Thời hạn mới nhất (Date)]],
_xlpm.D,Table1[[#This Row],[Dự kiến mới nhất (Date)]],
IF(
NOT(ISNUMBER(_xlpm.H)),"Không giao thời hạn",
IF(
NOT(ISNUMBER(_xlpm.D)),"Chưa có dự kiến",
_xlpm.D-_xlpm.H
)))</f>
        <v>Không giao thời hạn</v>
      </c>
    </row>
    <row r="215" spans="1:32" ht="189.45" x14ac:dyDescent="0.4">
      <c r="A215" s="44">
        <v>46282</v>
      </c>
      <c r="B215" s="4" t="s">
        <v>747</v>
      </c>
      <c r="C215" s="5" t="s">
        <v>688</v>
      </c>
      <c r="D215" s="5">
        <v>34</v>
      </c>
      <c r="E215" s="5" t="str">
        <f>_xlfn.TEXTJOIN("+",TRUE,Table1[[#This Row],[Snapshot]:[ID]])</f>
        <v>46282+DIR-7288BADB26A4</v>
      </c>
      <c r="F215" s="5"/>
      <c r="G215" s="5" t="s">
        <v>1307</v>
      </c>
      <c r="H215" s="20" t="s">
        <v>1308</v>
      </c>
      <c r="I215" s="5" t="s">
        <v>125</v>
      </c>
      <c r="J215" s="4" t="s">
        <v>689</v>
      </c>
      <c r="K215" s="4" t="str" cm="1">
        <f t="array" ref="K21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215" s="4" t="s">
        <v>688</v>
      </c>
      <c r="M215" s="4" t="s">
        <v>70</v>
      </c>
      <c r="N215" s="4" t="s">
        <v>1696</v>
      </c>
      <c r="O215" s="4" t="s">
        <v>71</v>
      </c>
      <c r="P215" s="6">
        <v>46235</v>
      </c>
      <c r="Q215" s="6">
        <v>46235</v>
      </c>
      <c r="R215" s="5">
        <v>1</v>
      </c>
      <c r="S215" s="5" t="s">
        <v>72</v>
      </c>
      <c r="T215" s="13">
        <v>46264</v>
      </c>
      <c r="U215" s="13">
        <v>46264</v>
      </c>
      <c r="V215" s="5">
        <v>0</v>
      </c>
      <c r="W215" s="22">
        <f>_xlfn.LET(
_xlpm.H,Table1[[#This Row],[Thời hạn mới nhất (Date)]],
_xlpm.S,Table1[[#This Row],[Snapshot]],
IF(
    ISNUMBER(_xlpm.H),
    INT(_xlpm.H)-INT(_xlpm.S),
    "Không giao thời hạn"
))</f>
        <v>-18</v>
      </c>
      <c r="X215" s="4" t="s">
        <v>748</v>
      </c>
      <c r="Y215" s="5"/>
      <c r="Z215" s="5" t="s">
        <v>35</v>
      </c>
      <c r="AA215" s="5"/>
      <c r="AB215" s="4"/>
      <c r="AC215" s="6"/>
      <c r="AD215" s="6"/>
      <c r="AE215" s="4">
        <v>0</v>
      </c>
      <c r="AF215" s="26" t="str">
        <f>_xlfn.LET(
_xlpm.H,Table1[[#This Row],[Thời hạn mới nhất (Date)]],
_xlpm.D,Table1[[#This Row],[Dự kiến mới nhất (Date)]],
IF(
NOT(ISNUMBER(_xlpm.H)),"Không giao thời hạn",
IF(
NOT(ISNUMBER(_xlpm.D)),"Chưa có dự kiến",
_xlpm.D-_xlpm.H
)))</f>
        <v>Chưa có dự kiến</v>
      </c>
    </row>
    <row r="216" spans="1:32" ht="189.45" x14ac:dyDescent="0.4">
      <c r="A216" s="44">
        <v>46275</v>
      </c>
      <c r="B216" s="4" t="s">
        <v>747</v>
      </c>
      <c r="C216" s="5" t="s">
        <v>688</v>
      </c>
      <c r="D216" s="5">
        <v>34</v>
      </c>
      <c r="E216" s="5" t="str">
        <f>_xlfn.TEXTJOIN("+",TRUE,Table1[[#This Row],[Snapshot]:[ID]])</f>
        <v>46275+DIR-7288BADB26A4</v>
      </c>
      <c r="F216" s="5"/>
      <c r="G216" s="5" t="s">
        <v>1309</v>
      </c>
      <c r="H216" s="20" t="s">
        <v>1310</v>
      </c>
      <c r="I216" s="5" t="s">
        <v>125</v>
      </c>
      <c r="J216" s="4" t="s">
        <v>689</v>
      </c>
      <c r="K216" s="4" t="str" cm="1">
        <f t="array" ref="K21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216" s="4" t="s">
        <v>688</v>
      </c>
      <c r="M216" s="4" t="s">
        <v>70</v>
      </c>
      <c r="N216" s="4" t="s">
        <v>1696</v>
      </c>
      <c r="O216" s="4" t="s">
        <v>71</v>
      </c>
      <c r="P216" s="6">
        <v>46235</v>
      </c>
      <c r="Q216" s="6">
        <v>46235</v>
      </c>
      <c r="R216" s="5">
        <v>1</v>
      </c>
      <c r="S216" s="5" t="s">
        <v>72</v>
      </c>
      <c r="T216" s="13">
        <v>46264</v>
      </c>
      <c r="U216" s="13">
        <v>46264</v>
      </c>
      <c r="V216" s="5">
        <v>0</v>
      </c>
      <c r="W216" s="22">
        <f>_xlfn.LET(
_xlpm.H,Table1[[#This Row],[Thời hạn mới nhất (Date)]],
_xlpm.S,Table1[[#This Row],[Snapshot]],
IF(
    ISNUMBER(_xlpm.H),
    INT(_xlpm.H)-INT(_xlpm.S),
    "Không giao thời hạn"
))</f>
        <v>-11</v>
      </c>
      <c r="X216" s="4" t="s">
        <v>748</v>
      </c>
      <c r="Y216" s="5"/>
      <c r="Z216" s="5" t="s">
        <v>35</v>
      </c>
      <c r="AA216" s="5"/>
      <c r="AB216" s="4"/>
      <c r="AC216" s="6"/>
      <c r="AD216" s="6"/>
      <c r="AE216" s="4">
        <v>0</v>
      </c>
      <c r="AF216" s="26" t="str">
        <f>_xlfn.LET(
_xlpm.H,Table1[[#This Row],[Thời hạn mới nhất (Date)]],
_xlpm.D,Table1[[#This Row],[Dự kiến mới nhất (Date)]],
IF(
NOT(ISNUMBER(_xlpm.H)),"Không giao thời hạn",
IF(
NOT(ISNUMBER(_xlpm.D)),"Chưa có dự kiến",
_xlpm.D-_xlpm.H
)))</f>
        <v>Chưa có dự kiến</v>
      </c>
    </row>
    <row r="217" spans="1:32" ht="320.60000000000002" x14ac:dyDescent="0.4">
      <c r="A217" s="44">
        <v>46282</v>
      </c>
      <c r="B217" s="4" t="s">
        <v>744</v>
      </c>
      <c r="C217" s="5" t="s">
        <v>688</v>
      </c>
      <c r="D217" s="5">
        <v>33</v>
      </c>
      <c r="E217" s="5" t="str">
        <f>_xlfn.TEXTJOIN("+",TRUE,Table1[[#This Row],[Snapshot]:[ID]])</f>
        <v>46282+DIR-72C8F319EF7A</v>
      </c>
      <c r="F217" s="5"/>
      <c r="G217" s="5" t="s">
        <v>1299</v>
      </c>
      <c r="H217" s="20" t="s">
        <v>1299</v>
      </c>
      <c r="I217" s="5" t="s">
        <v>120</v>
      </c>
      <c r="J217" s="4" t="s">
        <v>689</v>
      </c>
      <c r="K217" s="4" t="str" cm="1">
        <f t="array" ref="K21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22. Kết nối Số, Thu hộ và Dịch vụ Thanh toán</v>
      </c>
      <c r="L217" s="4" t="s">
        <v>688</v>
      </c>
      <c r="M217" s="4" t="s">
        <v>745</v>
      </c>
      <c r="N217" s="4" t="s">
        <v>1696</v>
      </c>
      <c r="O217" s="4"/>
      <c r="P217" s="6"/>
      <c r="Q217" s="6"/>
      <c r="R217" s="5">
        <v>0</v>
      </c>
      <c r="S217" s="5"/>
      <c r="T217" s="13"/>
      <c r="U217" s="13"/>
      <c r="V217" s="5">
        <v>0</v>
      </c>
      <c r="W217" s="22" t="str">
        <f>_xlfn.LET(
_xlpm.H,Table1[[#This Row],[Thời hạn mới nhất (Date)]],
_xlpm.S,Table1[[#This Row],[Snapshot]],
IF(
    ISNUMBER(_xlpm.H),
    INT(_xlpm.H)-INT(_xlpm.S),
    "Không giao thời hạn"
))</f>
        <v>Không giao thời hạn</v>
      </c>
      <c r="X217" s="4" t="s">
        <v>746</v>
      </c>
      <c r="Y217" s="5"/>
      <c r="Z217" s="5" t="s">
        <v>35</v>
      </c>
      <c r="AA217" s="5"/>
      <c r="AB217" s="4"/>
      <c r="AC217" s="6"/>
      <c r="AD217" s="6"/>
      <c r="AE217" s="4">
        <v>0</v>
      </c>
      <c r="AF217" s="26" t="str">
        <f>_xlfn.LET(
_xlpm.H,Table1[[#This Row],[Thời hạn mới nhất (Date)]],
_xlpm.D,Table1[[#This Row],[Dự kiến mới nhất (Date)]],
IF(
NOT(ISNUMBER(_xlpm.H)),"Không giao thời hạn",
IF(
NOT(ISNUMBER(_xlpm.D)),"Chưa có dự kiến",
_xlpm.D-_xlpm.H
)))</f>
        <v>Không giao thời hạn</v>
      </c>
    </row>
    <row r="218" spans="1:32" ht="320.60000000000002" x14ac:dyDescent="0.4">
      <c r="A218" s="44">
        <v>46275</v>
      </c>
      <c r="B218" s="4" t="s">
        <v>744</v>
      </c>
      <c r="C218" s="5" t="s">
        <v>688</v>
      </c>
      <c r="D218" s="5">
        <v>33</v>
      </c>
      <c r="E218" s="5" t="str">
        <f>_xlfn.TEXTJOIN("+",TRUE,Table1[[#This Row],[Snapshot]:[ID]])</f>
        <v>46275+DIR-72C8F319EF7A</v>
      </c>
      <c r="F218" s="5"/>
      <c r="G218" s="5" t="s">
        <v>1299</v>
      </c>
      <c r="H218" s="20" t="s">
        <v>1299</v>
      </c>
      <c r="I218" s="5" t="s">
        <v>120</v>
      </c>
      <c r="J218" s="4" t="s">
        <v>689</v>
      </c>
      <c r="K218" s="4" t="str" cm="1">
        <f t="array" ref="K21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22. Kết nối Số, Thu hộ và Dịch vụ Thanh toán</v>
      </c>
      <c r="L218" s="4" t="s">
        <v>688</v>
      </c>
      <c r="M218" s="4" t="s">
        <v>745</v>
      </c>
      <c r="N218" s="4" t="s">
        <v>1696</v>
      </c>
      <c r="O218" s="4"/>
      <c r="P218" s="6"/>
      <c r="Q218" s="6"/>
      <c r="R218" s="5">
        <v>0</v>
      </c>
      <c r="S218" s="5"/>
      <c r="T218" s="13"/>
      <c r="U218" s="13"/>
      <c r="V218" s="5">
        <v>0</v>
      </c>
      <c r="W218" s="22" t="str">
        <f>_xlfn.LET(
_xlpm.H,Table1[[#This Row],[Thời hạn mới nhất (Date)]],
_xlpm.S,Table1[[#This Row],[Snapshot]],
IF(
    ISNUMBER(_xlpm.H),
    INT(_xlpm.H)-INT(_xlpm.S),
    "Không giao thời hạn"
))</f>
        <v>Không giao thời hạn</v>
      </c>
      <c r="X218" s="4" t="s">
        <v>746</v>
      </c>
      <c r="Y218" s="5"/>
      <c r="Z218" s="5" t="s">
        <v>35</v>
      </c>
      <c r="AA218" s="5"/>
      <c r="AB218" s="4"/>
      <c r="AC218" s="6"/>
      <c r="AD218" s="6"/>
      <c r="AE218" s="4">
        <v>0</v>
      </c>
      <c r="AF218" s="26" t="str">
        <f>_xlfn.LET(
_xlpm.H,Table1[[#This Row],[Thời hạn mới nhất (Date)]],
_xlpm.D,Table1[[#This Row],[Dự kiến mới nhất (Date)]],
IF(
NOT(ISNUMBER(_xlpm.H)),"Không giao thời hạn",
IF(
NOT(ISNUMBER(_xlpm.D)),"Chưa có dự kiến",
_xlpm.D-_xlpm.H
)))</f>
        <v>Không giao thời hạn</v>
      </c>
    </row>
    <row r="219" spans="1:32" ht="58.3" x14ac:dyDescent="0.4">
      <c r="A219" s="44">
        <v>46282</v>
      </c>
      <c r="B219" s="4" t="s">
        <v>827</v>
      </c>
      <c r="C219" s="5" t="s">
        <v>688</v>
      </c>
      <c r="D219" s="5">
        <v>55</v>
      </c>
      <c r="E219" s="5" t="str">
        <f>_xlfn.TEXTJOIN("+",TRUE,Table1[[#This Row],[Snapshot]:[ID]])</f>
        <v>46282+DIR-72E073E17491</v>
      </c>
      <c r="F219" s="5"/>
      <c r="G219" s="5" t="s">
        <v>1299</v>
      </c>
      <c r="H219" s="20" t="s">
        <v>1299</v>
      </c>
      <c r="I219" s="5" t="s">
        <v>820</v>
      </c>
      <c r="J219" s="4" t="s">
        <v>689</v>
      </c>
      <c r="K219" s="4" t="str" cm="1">
        <f t="array" ref="K21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21. Kênh Ngân hàng Số và Trải nghiệm Ứng dụng</v>
      </c>
      <c r="L219" s="4" t="s">
        <v>688</v>
      </c>
      <c r="M219" s="4" t="s">
        <v>829</v>
      </c>
      <c r="N219" s="4" t="s">
        <v>1696</v>
      </c>
      <c r="O219" s="4" t="s">
        <v>181</v>
      </c>
      <c r="P219" s="6">
        <v>46270</v>
      </c>
      <c r="Q219" s="6">
        <v>46270</v>
      </c>
      <c r="R219" s="5">
        <v>1</v>
      </c>
      <c r="S219" s="5" t="s">
        <v>825</v>
      </c>
      <c r="T219" s="13">
        <v>46305</v>
      </c>
      <c r="U219" s="13">
        <v>46305</v>
      </c>
      <c r="V219" s="5">
        <v>0</v>
      </c>
      <c r="W219" s="22">
        <f>_xlfn.LET(
_xlpm.H,Table1[[#This Row],[Thời hạn mới nhất (Date)]],
_xlpm.S,Table1[[#This Row],[Snapshot]],
IF(
    ISNUMBER(_xlpm.H),
    INT(_xlpm.H)-INT(_xlpm.S),
    "Không giao thời hạn"
))</f>
        <v>23</v>
      </c>
      <c r="X219" s="4" t="s">
        <v>830</v>
      </c>
      <c r="Y219" s="5"/>
      <c r="Z219" s="5" t="s">
        <v>35</v>
      </c>
      <c r="AA219" s="5"/>
      <c r="AB219" s="4" t="s">
        <v>981</v>
      </c>
      <c r="AC219" s="6">
        <v>46305</v>
      </c>
      <c r="AD219" s="6">
        <v>46305</v>
      </c>
      <c r="AE219" s="4">
        <v>0</v>
      </c>
      <c r="AF219" s="26">
        <f>_xlfn.LET(
_xlpm.H,Table1[[#This Row],[Thời hạn mới nhất (Date)]],
_xlpm.D,Table1[[#This Row],[Dự kiến mới nhất (Date)]],
IF(
NOT(ISNUMBER(_xlpm.H)),"Không giao thời hạn",
IF(
NOT(ISNUMBER(_xlpm.D)),"Chưa có dự kiến",
_xlpm.D-_xlpm.H
)))</f>
        <v>0</v>
      </c>
    </row>
    <row r="220" spans="1:32" ht="58.3" x14ac:dyDescent="0.4">
      <c r="A220" s="44">
        <v>46275</v>
      </c>
      <c r="B220" s="4" t="s">
        <v>827</v>
      </c>
      <c r="C220" s="5" t="s">
        <v>688</v>
      </c>
      <c r="D220" s="5">
        <v>58</v>
      </c>
      <c r="E220" s="5" t="str">
        <f>_xlfn.TEXTJOIN("+",TRUE,Table1[[#This Row],[Snapshot]:[ID]])</f>
        <v>46275+DIR-72E073E17491</v>
      </c>
      <c r="F220" s="5"/>
      <c r="G220" s="5" t="s">
        <v>1299</v>
      </c>
      <c r="H220" s="20" t="s">
        <v>1299</v>
      </c>
      <c r="I220" s="5" t="s">
        <v>828</v>
      </c>
      <c r="J220" s="4" t="s">
        <v>689</v>
      </c>
      <c r="K220" s="4" t="str" cm="1">
        <f t="array" ref="K22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21. Kênh Ngân hàng Số và Trải nghiệm Ứng dụng</v>
      </c>
      <c r="L220" s="4" t="s">
        <v>688</v>
      </c>
      <c r="M220" s="4" t="s">
        <v>829</v>
      </c>
      <c r="N220" s="4" t="s">
        <v>1696</v>
      </c>
      <c r="O220" s="4" t="s">
        <v>181</v>
      </c>
      <c r="P220" s="6">
        <v>46270</v>
      </c>
      <c r="Q220" s="6">
        <v>46270</v>
      </c>
      <c r="R220" s="5">
        <v>1</v>
      </c>
      <c r="S220" s="5" t="s">
        <v>825</v>
      </c>
      <c r="T220" s="13">
        <v>46305</v>
      </c>
      <c r="U220" s="13">
        <v>46305</v>
      </c>
      <c r="V220" s="5">
        <v>0</v>
      </c>
      <c r="W220" s="22">
        <f>_xlfn.LET(
_xlpm.H,Table1[[#This Row],[Thời hạn mới nhất (Date)]],
_xlpm.S,Table1[[#This Row],[Snapshot]],
IF(
    ISNUMBER(_xlpm.H),
    INT(_xlpm.H)-INT(_xlpm.S),
    "Không giao thời hạn"
))</f>
        <v>30</v>
      </c>
      <c r="X220" s="4" t="s">
        <v>830</v>
      </c>
      <c r="Y220" s="5"/>
      <c r="Z220" s="5" t="s">
        <v>194</v>
      </c>
      <c r="AA220" s="5"/>
      <c r="AB220" s="4" t="s">
        <v>810</v>
      </c>
      <c r="AC220" s="6">
        <v>46305</v>
      </c>
      <c r="AD220" s="6">
        <v>46305</v>
      </c>
      <c r="AE220" s="4">
        <v>0</v>
      </c>
      <c r="AF220" s="26">
        <f>_xlfn.LET(
_xlpm.H,Table1[[#This Row],[Thời hạn mới nhất (Date)]],
_xlpm.D,Table1[[#This Row],[Dự kiến mới nhất (Date)]],
IF(
NOT(ISNUMBER(_xlpm.H)),"Không giao thời hạn",
IF(
NOT(ISNUMBER(_xlpm.D)),"Chưa có dự kiến",
_xlpm.D-_xlpm.H
)))</f>
        <v>0</v>
      </c>
    </row>
    <row r="221" spans="1:32" ht="160.30000000000001" x14ac:dyDescent="0.4">
      <c r="A221" s="44">
        <v>46275</v>
      </c>
      <c r="B221" s="4" t="s">
        <v>800</v>
      </c>
      <c r="C221" s="5" t="s">
        <v>688</v>
      </c>
      <c r="D221" s="5">
        <v>51</v>
      </c>
      <c r="E221" s="5" t="str">
        <f>_xlfn.TEXTJOIN("+",TRUE,Table1[[#This Row],[Snapshot]:[ID]])</f>
        <v>46275+DIR-731D389D946F</v>
      </c>
      <c r="F221" s="5"/>
      <c r="G221" s="5" t="s">
        <v>1900</v>
      </c>
      <c r="H221" s="20" t="s">
        <v>1901</v>
      </c>
      <c r="I221" s="5" t="s">
        <v>801</v>
      </c>
      <c r="J221" s="4" t="s">
        <v>689</v>
      </c>
      <c r="K221" s="4" t="str" cm="1">
        <f t="array" ref="K22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221" s="4" t="s">
        <v>688</v>
      </c>
      <c r="M221" s="4" t="s">
        <v>633</v>
      </c>
      <c r="N221" s="4" t="s">
        <v>1696</v>
      </c>
      <c r="O221" s="4" t="s">
        <v>191</v>
      </c>
      <c r="P221" s="13">
        <v>46262</v>
      </c>
      <c r="Q221" s="13">
        <v>46262</v>
      </c>
      <c r="R221" s="5">
        <v>1</v>
      </c>
      <c r="S221" s="5" t="s">
        <v>634</v>
      </c>
      <c r="T221" s="13">
        <v>46263</v>
      </c>
      <c r="U221" s="13">
        <v>46263</v>
      </c>
      <c r="V221" s="5">
        <v>0</v>
      </c>
      <c r="W221" s="22">
        <f>_xlfn.LET(
_xlpm.H,Table1[[#This Row],[Thời hạn mới nhất (Date)]],
_xlpm.S,Table1[[#This Row],[Snapshot]],
IF(
    ISNUMBER(_xlpm.H),
    INT(_xlpm.H)-INT(_xlpm.S),
    "Không giao thời hạn"
))</f>
        <v>-12</v>
      </c>
      <c r="X221" s="4" t="s">
        <v>802</v>
      </c>
      <c r="Y221" s="5" t="s">
        <v>35</v>
      </c>
      <c r="Z221" s="5"/>
      <c r="AA221" s="5"/>
      <c r="AB221" s="4"/>
      <c r="AC221" s="6"/>
      <c r="AD221" s="6"/>
      <c r="AE221" s="4">
        <v>0</v>
      </c>
      <c r="AF221" s="26" t="str">
        <f>_xlfn.LET(
_xlpm.H,Table1[[#This Row],[Thời hạn mới nhất (Date)]],
_xlpm.D,Table1[[#This Row],[Dự kiến mới nhất (Date)]],
IF(
NOT(ISNUMBER(_xlpm.H)),"Không giao thời hạn",
IF(
NOT(ISNUMBER(_xlpm.D)),"Chưa có dự kiến",
_xlpm.D-_xlpm.H
)))</f>
        <v>Chưa có dự kiến</v>
      </c>
    </row>
    <row r="222" spans="1:32" ht="116.6" x14ac:dyDescent="0.4">
      <c r="A222" s="44">
        <v>46282</v>
      </c>
      <c r="B222" s="4" t="s">
        <v>887</v>
      </c>
      <c r="C222" s="5" t="s">
        <v>888</v>
      </c>
      <c r="D222" s="5">
        <v>13</v>
      </c>
      <c r="E222" s="5" t="str">
        <f>_xlfn.TEXTJOIN("+",TRUE,Table1[[#This Row],[Snapshot]:[ID]])</f>
        <v>46282+DIR-734DE5FD5F18</v>
      </c>
      <c r="F222" s="5"/>
      <c r="G222" s="5" t="s">
        <v>1902</v>
      </c>
      <c r="H222" s="20" t="s">
        <v>1875</v>
      </c>
      <c r="I222" s="5" t="s">
        <v>45</v>
      </c>
      <c r="J222" s="4" t="s">
        <v>30</v>
      </c>
      <c r="K222" s="4" t="str" cm="1">
        <f t="array" ref="K22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222" s="4" t="s">
        <v>888</v>
      </c>
      <c r="M222" s="4" t="s">
        <v>628</v>
      </c>
      <c r="N222" s="4" t="s">
        <v>1711</v>
      </c>
      <c r="O222" s="4" t="s">
        <v>275</v>
      </c>
      <c r="P222" s="6">
        <v>46256</v>
      </c>
      <c r="Q222" s="6">
        <v>46256</v>
      </c>
      <c r="R222" s="5">
        <v>1</v>
      </c>
      <c r="S222" s="5" t="s">
        <v>625</v>
      </c>
      <c r="T222" s="13">
        <v>46275</v>
      </c>
      <c r="U222" s="13">
        <v>46275</v>
      </c>
      <c r="V222" s="5">
        <v>0</v>
      </c>
      <c r="W222" s="22">
        <f>_xlfn.LET(
_xlpm.H,Table1[[#This Row],[Thời hạn mới nhất (Date)]],
_xlpm.S,Table1[[#This Row],[Snapshot]],
IF(
    ISNUMBER(_xlpm.H),
    INT(_xlpm.H)-INT(_xlpm.S),
    "Không giao thời hạn"
))</f>
        <v>-7</v>
      </c>
      <c r="X222" s="4" t="s">
        <v>889</v>
      </c>
      <c r="Y222" s="5"/>
      <c r="Z222" s="5" t="s">
        <v>35</v>
      </c>
      <c r="AA222" s="5"/>
      <c r="AB222" s="4"/>
      <c r="AC222" s="6"/>
      <c r="AD222" s="6"/>
      <c r="AE222" s="4">
        <v>0</v>
      </c>
      <c r="AF222" s="26" t="str">
        <f>_xlfn.LET(
_xlpm.H,Table1[[#This Row],[Thời hạn mới nhất (Date)]],
_xlpm.D,Table1[[#This Row],[Dự kiến mới nhất (Date)]],
IF(
NOT(ISNUMBER(_xlpm.H)),"Không giao thời hạn",
IF(
NOT(ISNUMBER(_xlpm.D)),"Chưa có dự kiến",
_xlpm.D-_xlpm.H
)))</f>
        <v>Chưa có dự kiến</v>
      </c>
    </row>
    <row r="223" spans="1:32" ht="160.30000000000001" x14ac:dyDescent="0.4">
      <c r="A223" s="44">
        <v>46275</v>
      </c>
      <c r="B223" s="4" t="s">
        <v>887</v>
      </c>
      <c r="C223" s="5" t="s">
        <v>888</v>
      </c>
      <c r="D223" s="5">
        <v>13</v>
      </c>
      <c r="E223" s="5" t="str">
        <f>_xlfn.TEXTJOIN("+",TRUE,Table1[[#This Row],[Snapshot]:[ID]])</f>
        <v>46275+DIR-734DE5FD5F18</v>
      </c>
      <c r="F223" s="5"/>
      <c r="G223" s="5" t="s">
        <v>1903</v>
      </c>
      <c r="H223" s="20" t="s">
        <v>1904</v>
      </c>
      <c r="I223" s="5" t="s">
        <v>45</v>
      </c>
      <c r="J223" s="4" t="s">
        <v>30</v>
      </c>
      <c r="K223" s="4" t="str" cm="1">
        <f t="array" ref="K22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223" s="4" t="s">
        <v>888</v>
      </c>
      <c r="M223" s="4" t="s">
        <v>628</v>
      </c>
      <c r="N223" s="4" t="s">
        <v>1711</v>
      </c>
      <c r="O223" s="4" t="s">
        <v>275</v>
      </c>
      <c r="P223" s="6">
        <v>46256</v>
      </c>
      <c r="Q223" s="6">
        <v>46256</v>
      </c>
      <c r="R223" s="5">
        <v>1</v>
      </c>
      <c r="S223" s="5" t="s">
        <v>625</v>
      </c>
      <c r="T223" s="13">
        <v>46275</v>
      </c>
      <c r="U223" s="13">
        <v>46275</v>
      </c>
      <c r="V223" s="5">
        <v>0</v>
      </c>
      <c r="W223" s="22">
        <f>_xlfn.LET(
_xlpm.H,Table1[[#This Row],[Thời hạn mới nhất (Date)]],
_xlpm.S,Table1[[#This Row],[Snapshot]],
IF(
    ISNUMBER(_xlpm.H),
    INT(_xlpm.H)-INT(_xlpm.S),
    "Không giao thời hạn"
))</f>
        <v>0</v>
      </c>
      <c r="X223" s="4" t="s">
        <v>889</v>
      </c>
      <c r="Y223" s="5"/>
      <c r="Z223" s="5" t="s">
        <v>35</v>
      </c>
      <c r="AA223" s="5"/>
      <c r="AB223" s="4"/>
      <c r="AC223" s="6"/>
      <c r="AD223" s="6"/>
      <c r="AE223" s="4">
        <v>0</v>
      </c>
      <c r="AF223" s="26" t="str">
        <f>_xlfn.LET(
_xlpm.H,Table1[[#This Row],[Thời hạn mới nhất (Date)]],
_xlpm.D,Table1[[#This Row],[Dự kiến mới nhất (Date)]],
IF(
NOT(ISNUMBER(_xlpm.H)),"Không giao thời hạn",
IF(
NOT(ISNUMBER(_xlpm.D)),"Chưa có dự kiến",
_xlpm.D-_xlpm.H
)))</f>
        <v>Chưa có dự kiến</v>
      </c>
    </row>
    <row r="224" spans="1:32" ht="131.15" x14ac:dyDescent="0.4">
      <c r="A224" s="44">
        <v>46282</v>
      </c>
      <c r="B224" s="4" t="s">
        <v>770</v>
      </c>
      <c r="C224" s="5" t="s">
        <v>688</v>
      </c>
      <c r="D224" s="5">
        <v>42</v>
      </c>
      <c r="E224" s="5" t="str">
        <f>_xlfn.TEXTJOIN("+",TRUE,Table1[[#This Row],[Snapshot]:[ID]])</f>
        <v>46282+DIR-74AA7E624C6E</v>
      </c>
      <c r="F224" s="5"/>
      <c r="G224" s="5" t="s">
        <v>1438</v>
      </c>
      <c r="H224" s="20" t="s">
        <v>1439</v>
      </c>
      <c r="I224" s="5" t="s">
        <v>168</v>
      </c>
      <c r="J224" s="4" t="s">
        <v>689</v>
      </c>
      <c r="K224" s="4" t="str" cm="1">
        <f t="array" ref="K22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224" s="4" t="s">
        <v>688</v>
      </c>
      <c r="M224" s="4" t="s">
        <v>771</v>
      </c>
      <c r="N224" s="4" t="s">
        <v>1696</v>
      </c>
      <c r="O224" s="4" t="s">
        <v>32</v>
      </c>
      <c r="P224" s="6">
        <v>46242</v>
      </c>
      <c r="Q224" s="6">
        <v>46242</v>
      </c>
      <c r="R224" s="5">
        <v>1</v>
      </c>
      <c r="S224" s="5" t="s">
        <v>108</v>
      </c>
      <c r="T224" s="13">
        <v>46257</v>
      </c>
      <c r="U224" s="13">
        <v>46257</v>
      </c>
      <c r="V224" s="5">
        <v>0</v>
      </c>
      <c r="W224" s="22">
        <f>_xlfn.LET(
_xlpm.H,Table1[[#This Row],[Thời hạn mới nhất (Date)]],
_xlpm.S,Table1[[#This Row],[Snapshot]],
IF(
    ISNUMBER(_xlpm.H),
    INT(_xlpm.H)-INT(_xlpm.S),
    "Không giao thời hạn"
))</f>
        <v>-25</v>
      </c>
      <c r="X224" s="4" t="s">
        <v>772</v>
      </c>
      <c r="Y224" s="5"/>
      <c r="Z224" s="5" t="s">
        <v>35</v>
      </c>
      <c r="AA224" s="5"/>
      <c r="AB224" s="4"/>
      <c r="AC224" s="6"/>
      <c r="AD224" s="6"/>
      <c r="AE224" s="4">
        <v>0</v>
      </c>
      <c r="AF224" s="26" t="str">
        <f>_xlfn.LET(
_xlpm.H,Table1[[#This Row],[Thời hạn mới nhất (Date)]],
_xlpm.D,Table1[[#This Row],[Dự kiến mới nhất (Date)]],
IF(
NOT(ISNUMBER(_xlpm.H)),"Không giao thời hạn",
IF(
NOT(ISNUMBER(_xlpm.D)),"Chưa có dự kiến",
_xlpm.D-_xlpm.H
)))</f>
        <v>Chưa có dự kiến</v>
      </c>
    </row>
    <row r="225" spans="1:32" ht="102" x14ac:dyDescent="0.4">
      <c r="A225" s="44">
        <v>46275</v>
      </c>
      <c r="B225" s="4" t="s">
        <v>770</v>
      </c>
      <c r="C225" s="5" t="s">
        <v>688</v>
      </c>
      <c r="D225" s="5">
        <v>43</v>
      </c>
      <c r="E225" s="5" t="str">
        <f>_xlfn.TEXTJOIN("+",TRUE,Table1[[#This Row],[Snapshot]:[ID]])</f>
        <v>46275+DIR-74AA7E624C6E</v>
      </c>
      <c r="F225" s="5"/>
      <c r="G225" s="5" t="s">
        <v>1440</v>
      </c>
      <c r="H225" s="20" t="s">
        <v>1441</v>
      </c>
      <c r="I225" s="5" t="s">
        <v>174</v>
      </c>
      <c r="J225" s="4" t="s">
        <v>689</v>
      </c>
      <c r="K225" s="4" t="str" cm="1">
        <f t="array" ref="K22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225" s="4" t="s">
        <v>688</v>
      </c>
      <c r="M225" s="4" t="s">
        <v>771</v>
      </c>
      <c r="N225" s="4" t="s">
        <v>1696</v>
      </c>
      <c r="O225" s="4" t="s">
        <v>32</v>
      </c>
      <c r="P225" s="6">
        <v>46242</v>
      </c>
      <c r="Q225" s="6">
        <v>46242</v>
      </c>
      <c r="R225" s="5">
        <v>1</v>
      </c>
      <c r="S225" s="5" t="s">
        <v>108</v>
      </c>
      <c r="T225" s="13">
        <v>46257</v>
      </c>
      <c r="U225" s="13">
        <v>46257</v>
      </c>
      <c r="V225" s="5">
        <v>0</v>
      </c>
      <c r="W225" s="22">
        <f>_xlfn.LET(
_xlpm.H,Table1[[#This Row],[Thời hạn mới nhất (Date)]],
_xlpm.S,Table1[[#This Row],[Snapshot]],
IF(
    ISNUMBER(_xlpm.H),
    INT(_xlpm.H)-INT(_xlpm.S),
    "Không giao thời hạn"
))</f>
        <v>-18</v>
      </c>
      <c r="X225" s="4" t="s">
        <v>772</v>
      </c>
      <c r="Y225" s="5"/>
      <c r="Z225" s="5" t="s">
        <v>35</v>
      </c>
      <c r="AA225" s="5"/>
      <c r="AB225" s="4"/>
      <c r="AC225" s="6"/>
      <c r="AD225" s="6"/>
      <c r="AE225" s="4">
        <v>0</v>
      </c>
      <c r="AF225" s="26" t="str">
        <f>_xlfn.LET(
_xlpm.H,Table1[[#This Row],[Thời hạn mới nhất (Date)]],
_xlpm.D,Table1[[#This Row],[Dự kiến mới nhất (Date)]],
IF(
NOT(ISNUMBER(_xlpm.H)),"Không giao thời hạn",
IF(
NOT(ISNUMBER(_xlpm.D)),"Chưa có dự kiến",
_xlpm.D-_xlpm.H
)))</f>
        <v>Chưa có dự kiến</v>
      </c>
    </row>
    <row r="226" spans="1:32" ht="145.75" x14ac:dyDescent="0.4">
      <c r="A226" s="44">
        <v>46282</v>
      </c>
      <c r="B226" s="4" t="s">
        <v>911</v>
      </c>
      <c r="C226" s="5" t="s">
        <v>44</v>
      </c>
      <c r="D226" s="5">
        <v>32</v>
      </c>
      <c r="E226" s="5" t="str">
        <f>_xlfn.TEXTJOIN("+",TRUE,Table1[[#This Row],[Snapshot]:[ID]])</f>
        <v>46282+DIR-76472891B7A3</v>
      </c>
      <c r="F226" s="5"/>
      <c r="G226" s="5" t="s">
        <v>1905</v>
      </c>
      <c r="H226" s="20" t="s">
        <v>1906</v>
      </c>
      <c r="I226" s="5" t="s">
        <v>141</v>
      </c>
      <c r="J226" s="4" t="s">
        <v>30</v>
      </c>
      <c r="K226" s="4" t="str" cm="1">
        <f t="array" ref="K22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24. Hệ sinh thái Giáo dục và Tài chính Giáo dục</v>
      </c>
      <c r="L226" s="4" t="s">
        <v>44</v>
      </c>
      <c r="M226" s="4" t="s">
        <v>912</v>
      </c>
      <c r="N226" s="4" t="s">
        <v>1721</v>
      </c>
      <c r="O226" s="4" t="s">
        <v>906</v>
      </c>
      <c r="P226" s="6">
        <v>46277</v>
      </c>
      <c r="Q226" s="6">
        <v>46277</v>
      </c>
      <c r="R226" s="5">
        <v>1</v>
      </c>
      <c r="S226" s="5" t="s">
        <v>913</v>
      </c>
      <c r="T226" s="13">
        <v>46281</v>
      </c>
      <c r="U226" s="13">
        <v>46281</v>
      </c>
      <c r="V226" s="5">
        <v>0</v>
      </c>
      <c r="W226" s="22">
        <f>_xlfn.LET(
_xlpm.H,Table1[[#This Row],[Thời hạn mới nhất (Date)]],
_xlpm.S,Table1[[#This Row],[Snapshot]],
IF(
    ISNUMBER(_xlpm.H),
    INT(_xlpm.H)-INT(_xlpm.S),
    "Không giao thời hạn"
))</f>
        <v>-1</v>
      </c>
      <c r="X226" s="4"/>
      <c r="Y226" s="5"/>
      <c r="Z226" s="5"/>
      <c r="AA226" s="5"/>
      <c r="AB226" s="4"/>
      <c r="AC226" s="6"/>
      <c r="AD226" s="6"/>
      <c r="AE226" s="4">
        <v>0</v>
      </c>
      <c r="AF226" s="26" t="str">
        <f>_xlfn.LET(
_xlpm.H,Table1[[#This Row],[Thời hạn mới nhất (Date)]],
_xlpm.D,Table1[[#This Row],[Dự kiến mới nhất (Date)]],
IF(
NOT(ISNUMBER(_xlpm.H)),"Không giao thời hạn",
IF(
NOT(ISNUMBER(_xlpm.D)),"Chưa có dự kiến",
_xlpm.D-_xlpm.H
)))</f>
        <v>Chưa có dự kiến</v>
      </c>
    </row>
    <row r="227" spans="1:32" ht="131.15" x14ac:dyDescent="0.4">
      <c r="A227" s="44">
        <v>46282</v>
      </c>
      <c r="B227" s="4" t="s">
        <v>921</v>
      </c>
      <c r="C227" s="5" t="s">
        <v>297</v>
      </c>
      <c r="D227" s="5">
        <v>24</v>
      </c>
      <c r="E227" s="5" t="str">
        <f>_xlfn.TEXTJOIN("+",TRUE,Table1[[#This Row],[Snapshot]:[ID]])</f>
        <v>46282+DIR-76942178DF2E</v>
      </c>
      <c r="F227" s="5"/>
      <c r="G227" s="5" t="s">
        <v>1286</v>
      </c>
      <c r="H227" s="20" t="s">
        <v>1287</v>
      </c>
      <c r="I227" s="5" t="s">
        <v>101</v>
      </c>
      <c r="J227" s="4" t="s">
        <v>30</v>
      </c>
      <c r="K227" s="4" t="str" cm="1">
        <f t="array" ref="K22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227" s="4" t="s">
        <v>297</v>
      </c>
      <c r="M227" s="4" t="s">
        <v>922</v>
      </c>
      <c r="N227" s="4" t="s">
        <v>1722</v>
      </c>
      <c r="O227" s="4" t="s">
        <v>906</v>
      </c>
      <c r="P227" s="6">
        <v>46277</v>
      </c>
      <c r="Q227" s="6">
        <v>46277</v>
      </c>
      <c r="R227" s="5">
        <v>1</v>
      </c>
      <c r="S227" s="5" t="s">
        <v>910</v>
      </c>
      <c r="T227" s="13">
        <v>46280</v>
      </c>
      <c r="U227" s="13">
        <v>46280</v>
      </c>
      <c r="V227" s="5">
        <v>0</v>
      </c>
      <c r="W227" s="22">
        <f>_xlfn.LET(
_xlpm.H,Table1[[#This Row],[Thời hạn mới nhất (Date)]],
_xlpm.S,Table1[[#This Row],[Snapshot]],
IF(
    ISNUMBER(_xlpm.H),
    INT(_xlpm.H)-INT(_xlpm.S),
    "Không giao thời hạn"
))</f>
        <v>-2</v>
      </c>
      <c r="X227" s="4" t="s">
        <v>923</v>
      </c>
      <c r="Y227" s="5"/>
      <c r="Z227" s="5" t="s">
        <v>35</v>
      </c>
      <c r="AA227" s="5"/>
      <c r="AB227" s="4" t="s">
        <v>50</v>
      </c>
      <c r="AC227" s="6"/>
      <c r="AD227" s="6"/>
      <c r="AE227" s="4">
        <v>0</v>
      </c>
      <c r="AF227" s="26" t="str">
        <f>_xlfn.LET(
_xlpm.H,Table1[[#This Row],[Thời hạn mới nhất (Date)]],
_xlpm.D,Table1[[#This Row],[Dự kiến mới nhất (Date)]],
IF(
NOT(ISNUMBER(_xlpm.H)),"Không giao thời hạn",
IF(
NOT(ISNUMBER(_xlpm.D)),"Chưa có dự kiến",
_xlpm.D-_xlpm.H
)))</f>
        <v>Chưa có dự kiến</v>
      </c>
    </row>
    <row r="228" spans="1:32" ht="393.45" x14ac:dyDescent="0.4">
      <c r="A228" s="44">
        <v>46282</v>
      </c>
      <c r="B228" s="4" t="s">
        <v>420</v>
      </c>
      <c r="C228" s="5" t="s">
        <v>352</v>
      </c>
      <c r="D228" s="5">
        <v>30</v>
      </c>
      <c r="E228" s="5" t="str">
        <f>_xlfn.TEXTJOIN("+",TRUE,Table1[[#This Row],[Snapshot]:[ID]])</f>
        <v>46282+DIR-7920EE8916B0</v>
      </c>
      <c r="F228" s="5"/>
      <c r="G228" s="20" t="s">
        <v>1207</v>
      </c>
      <c r="H228" s="20" t="s">
        <v>1208</v>
      </c>
      <c r="I228" s="5" t="s">
        <v>130</v>
      </c>
      <c r="J228" s="4" t="s">
        <v>30</v>
      </c>
      <c r="K228" s="4" t="str" cm="1">
        <f t="array" ref="K22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17. Đào tạo và Phát triển Năng lực CBNV</v>
      </c>
      <c r="L228" s="4" t="s">
        <v>352</v>
      </c>
      <c r="M228" s="4" t="s">
        <v>421</v>
      </c>
      <c r="N228" s="4" t="s">
        <v>1702</v>
      </c>
      <c r="O228" s="4" t="s">
        <v>422</v>
      </c>
      <c r="P228" s="6">
        <v>45961</v>
      </c>
      <c r="Q228" s="6">
        <v>46095</v>
      </c>
      <c r="R228" s="4">
        <v>3</v>
      </c>
      <c r="S228" s="5" t="s">
        <v>423</v>
      </c>
      <c r="T228" s="13">
        <v>46111</v>
      </c>
      <c r="U228" s="13">
        <v>46111</v>
      </c>
      <c r="V228" s="5">
        <v>0</v>
      </c>
      <c r="W228" s="22">
        <f>_xlfn.LET(
_xlpm.H,Table1[[#This Row],[Thời hạn mới nhất (Date)]],
_xlpm.S,Table1[[#This Row],[Snapshot]],
IF(
    ISNUMBER(_xlpm.H),
    INT(_xlpm.H)-INT(_xlpm.S),
    "Không giao thời hạn"
))</f>
        <v>-171</v>
      </c>
      <c r="X228" s="4" t="s">
        <v>936</v>
      </c>
      <c r="Y228" s="5"/>
      <c r="Z228" s="5" t="s">
        <v>35</v>
      </c>
      <c r="AA228" s="5"/>
      <c r="AB228" s="4" t="s">
        <v>386</v>
      </c>
      <c r="AC228" s="6">
        <v>46387</v>
      </c>
      <c r="AD228" s="6">
        <v>46387</v>
      </c>
      <c r="AE228" s="4">
        <v>0</v>
      </c>
      <c r="AF228" s="26">
        <f>_xlfn.LET(
_xlpm.H,Table1[[#This Row],[Thời hạn mới nhất (Date)]],
_xlpm.D,Table1[[#This Row],[Dự kiến mới nhất (Date)]],
IF(
NOT(ISNUMBER(_xlpm.H)),"Không giao thời hạn",
IF(
NOT(ISNUMBER(_xlpm.D)),"Chưa có dự kiến",
_xlpm.D-_xlpm.H
)))</f>
        <v>276</v>
      </c>
    </row>
    <row r="229" spans="1:32" ht="409.6" x14ac:dyDescent="0.4">
      <c r="A229" s="44">
        <v>46275</v>
      </c>
      <c r="B229" s="4" t="s">
        <v>420</v>
      </c>
      <c r="C229" s="5" t="s">
        <v>352</v>
      </c>
      <c r="D229" s="5">
        <v>31</v>
      </c>
      <c r="E229" s="5" t="str">
        <f>_xlfn.TEXTJOIN("+",TRUE,Table1[[#This Row],[Snapshot]:[ID]])</f>
        <v>46275+DIR-7920EE8916B0</v>
      </c>
      <c r="F229" s="5"/>
      <c r="G229" s="20" t="s">
        <v>1209</v>
      </c>
      <c r="H229" s="20" t="s">
        <v>1188</v>
      </c>
      <c r="I229" s="5" t="s">
        <v>135</v>
      </c>
      <c r="J229" s="4" t="s">
        <v>30</v>
      </c>
      <c r="K229" s="4" t="str" cm="1">
        <f t="array" ref="K22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17. Đào tạo và Phát triển Năng lực CBNV</v>
      </c>
      <c r="L229" s="4" t="s">
        <v>352</v>
      </c>
      <c r="M229" s="4" t="s">
        <v>421</v>
      </c>
      <c r="N229" s="4" t="s">
        <v>1702</v>
      </c>
      <c r="O229" s="4" t="s">
        <v>422</v>
      </c>
      <c r="P229" s="6">
        <v>45961</v>
      </c>
      <c r="Q229" s="6">
        <v>46095</v>
      </c>
      <c r="R229" s="4">
        <v>3</v>
      </c>
      <c r="S229" s="5" t="s">
        <v>423</v>
      </c>
      <c r="T229" s="13">
        <v>46111</v>
      </c>
      <c r="U229" s="13">
        <v>46111</v>
      </c>
      <c r="V229" s="5">
        <v>0</v>
      </c>
      <c r="W229" s="22">
        <f>_xlfn.LET(
_xlpm.H,Table1[[#This Row],[Thời hạn mới nhất (Date)]],
_xlpm.S,Table1[[#This Row],[Snapshot]],
IF(
    ISNUMBER(_xlpm.H),
    INT(_xlpm.H)-INT(_xlpm.S),
    "Không giao thời hạn"
))</f>
        <v>-164</v>
      </c>
      <c r="X229" s="4" t="s">
        <v>424</v>
      </c>
      <c r="Y229" s="5"/>
      <c r="Z229" s="5" t="s">
        <v>35</v>
      </c>
      <c r="AA229" s="5"/>
      <c r="AB229" s="4" t="s">
        <v>386</v>
      </c>
      <c r="AC229" s="6">
        <v>46387</v>
      </c>
      <c r="AD229" s="6">
        <v>46387</v>
      </c>
      <c r="AE229" s="4">
        <v>0</v>
      </c>
      <c r="AF229" s="26">
        <f>_xlfn.LET(
_xlpm.H,Table1[[#This Row],[Thời hạn mới nhất (Date)]],
_xlpm.D,Table1[[#This Row],[Dự kiến mới nhất (Date)]],
IF(
NOT(ISNUMBER(_xlpm.H)),"Không giao thời hạn",
IF(
NOT(ISNUMBER(_xlpm.D)),"Chưa có dự kiến",
_xlpm.D-_xlpm.H
)))</f>
        <v>276</v>
      </c>
    </row>
    <row r="230" spans="1:32" ht="145.75" x14ac:dyDescent="0.4">
      <c r="A230" s="44">
        <v>46275</v>
      </c>
      <c r="B230" s="4" t="s">
        <v>377</v>
      </c>
      <c r="C230" s="5" t="s">
        <v>352</v>
      </c>
      <c r="D230" s="5">
        <v>20</v>
      </c>
      <c r="E230" s="5" t="str">
        <f>_xlfn.TEXTJOIN("+",TRUE,Table1[[#This Row],[Snapshot]:[ID]])</f>
        <v>46275+DIR-798BC535C794</v>
      </c>
      <c r="F230" s="5"/>
      <c r="G230" s="5" t="s">
        <v>1907</v>
      </c>
      <c r="H230" s="20" t="s">
        <v>1908</v>
      </c>
      <c r="I230" s="5" t="s">
        <v>85</v>
      </c>
      <c r="J230" s="4" t="s">
        <v>30</v>
      </c>
      <c r="K230" s="4" t="str" cm="1">
        <f t="array" ref="K23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30" s="4" t="s">
        <v>352</v>
      </c>
      <c r="M230" s="4" t="s">
        <v>186</v>
      </c>
      <c r="N230" s="4" t="s">
        <v>1702</v>
      </c>
      <c r="O230" s="4" t="s">
        <v>181</v>
      </c>
      <c r="P230" s="6">
        <v>46270</v>
      </c>
      <c r="Q230" s="6">
        <v>46270</v>
      </c>
      <c r="R230" s="5">
        <v>1</v>
      </c>
      <c r="S230" s="5"/>
      <c r="T230" s="13"/>
      <c r="U230" s="13"/>
      <c r="V230" s="5">
        <v>0</v>
      </c>
      <c r="W230" s="22" t="str">
        <f>_xlfn.LET(
_xlpm.H,Table1[[#This Row],[Thời hạn mới nhất (Date)]],
_xlpm.S,Table1[[#This Row],[Snapshot]],
IF(
    ISNUMBER(_xlpm.H),
    INT(_xlpm.H)-INT(_xlpm.S),
    "Không giao thời hạn"
))</f>
        <v>Không giao thời hạn</v>
      </c>
      <c r="X230" s="4" t="s">
        <v>378</v>
      </c>
      <c r="Y230" s="5"/>
      <c r="Z230" s="5" t="s">
        <v>35</v>
      </c>
      <c r="AA230" s="5"/>
      <c r="AB230" s="4"/>
      <c r="AC230" s="6"/>
      <c r="AD230" s="6"/>
      <c r="AE230" s="4">
        <v>0</v>
      </c>
      <c r="AF230" s="26" t="str">
        <f>_xlfn.LET(
_xlpm.H,Table1[[#This Row],[Thời hạn mới nhất (Date)]],
_xlpm.D,Table1[[#This Row],[Dự kiến mới nhất (Date)]],
IF(
NOT(ISNUMBER(_xlpm.H)),"Không giao thời hạn",
IF(
NOT(ISNUMBER(_xlpm.D)),"Chưa có dự kiến",
_xlpm.D-_xlpm.H
)))</f>
        <v>Không giao thời hạn</v>
      </c>
    </row>
    <row r="231" spans="1:32" ht="233.15" x14ac:dyDescent="0.4">
      <c r="A231" s="44">
        <v>46282</v>
      </c>
      <c r="B231" s="4" t="s">
        <v>265</v>
      </c>
      <c r="C231" s="5" t="s">
        <v>266</v>
      </c>
      <c r="D231" s="5">
        <v>13</v>
      </c>
      <c r="E231" s="5" t="str">
        <f>_xlfn.TEXTJOIN("+",TRUE,Table1[[#This Row],[Snapshot]:[ID]])</f>
        <v>46282+DIR-79E7FEDEA8E9</v>
      </c>
      <c r="F231" s="5"/>
      <c r="G231" s="5" t="s">
        <v>1909</v>
      </c>
      <c r="H231" s="20" t="s">
        <v>1910</v>
      </c>
      <c r="I231" s="5" t="s">
        <v>45</v>
      </c>
      <c r="J231" s="4" t="s">
        <v>30</v>
      </c>
      <c r="K231" s="4" t="str" cm="1">
        <f t="array" ref="K23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31" s="4" t="s">
        <v>266</v>
      </c>
      <c r="M231" s="4" t="s">
        <v>267</v>
      </c>
      <c r="N231" s="4" t="s">
        <v>1718</v>
      </c>
      <c r="O231" s="4" t="s">
        <v>268</v>
      </c>
      <c r="P231" s="6">
        <v>46181</v>
      </c>
      <c r="Q231" s="6">
        <v>46181</v>
      </c>
      <c r="R231" s="5">
        <v>1</v>
      </c>
      <c r="S231" s="5"/>
      <c r="T231" s="13"/>
      <c r="U231" s="13"/>
      <c r="V231" s="5">
        <v>0</v>
      </c>
      <c r="W231" s="22" t="str">
        <f>_xlfn.LET(
_xlpm.H,Table1[[#This Row],[Thời hạn mới nhất (Date)]],
_xlpm.S,Table1[[#This Row],[Snapshot]],
IF(
    ISNUMBER(_xlpm.H),
    INT(_xlpm.H)-INT(_xlpm.S),
    "Không giao thời hạn"
))</f>
        <v>Không giao thời hạn</v>
      </c>
      <c r="X231" s="4" t="s">
        <v>269</v>
      </c>
      <c r="Y231" s="5"/>
      <c r="Z231" s="5" t="s">
        <v>35</v>
      </c>
      <c r="AA231" s="5"/>
      <c r="AB231" s="4" t="s">
        <v>270</v>
      </c>
      <c r="AC231" s="6"/>
      <c r="AD231" s="6"/>
      <c r="AE231" s="4">
        <v>0</v>
      </c>
      <c r="AF231" s="26" t="str">
        <f>_xlfn.LET(
_xlpm.H,Table1[[#This Row],[Thời hạn mới nhất (Date)]],
_xlpm.D,Table1[[#This Row],[Dự kiến mới nhất (Date)]],
IF(
NOT(ISNUMBER(_xlpm.H)),"Không giao thời hạn",
IF(
NOT(ISNUMBER(_xlpm.D)),"Chưa có dự kiến",
_xlpm.D-_xlpm.H
)))</f>
        <v>Không giao thời hạn</v>
      </c>
    </row>
    <row r="232" spans="1:32" ht="233.15" x14ac:dyDescent="0.4">
      <c r="A232" s="44">
        <v>46275</v>
      </c>
      <c r="B232" s="4" t="s">
        <v>265</v>
      </c>
      <c r="C232" s="5" t="s">
        <v>266</v>
      </c>
      <c r="D232" s="5">
        <v>13</v>
      </c>
      <c r="E232" s="5" t="str">
        <f>_xlfn.TEXTJOIN("+",TRUE,Table1[[#This Row],[Snapshot]:[ID]])</f>
        <v>46275+DIR-79E7FEDEA8E9</v>
      </c>
      <c r="F232" s="5"/>
      <c r="G232" s="5" t="s">
        <v>1911</v>
      </c>
      <c r="H232" s="20" t="s">
        <v>1912</v>
      </c>
      <c r="I232" s="5" t="s">
        <v>45</v>
      </c>
      <c r="J232" s="4" t="s">
        <v>30</v>
      </c>
      <c r="K232" s="4" t="str" cm="1">
        <f t="array" ref="K23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32" s="4" t="s">
        <v>266</v>
      </c>
      <c r="M232" s="4" t="s">
        <v>267</v>
      </c>
      <c r="N232" s="4" t="s">
        <v>1718</v>
      </c>
      <c r="O232" s="4" t="s">
        <v>268</v>
      </c>
      <c r="P232" s="6">
        <v>46181</v>
      </c>
      <c r="Q232" s="6">
        <v>46181</v>
      </c>
      <c r="R232" s="5">
        <v>1</v>
      </c>
      <c r="S232" s="5"/>
      <c r="T232" s="13"/>
      <c r="U232" s="13"/>
      <c r="V232" s="5">
        <v>0</v>
      </c>
      <c r="W232" s="22" t="str">
        <f>_xlfn.LET(
_xlpm.H,Table1[[#This Row],[Thời hạn mới nhất (Date)]],
_xlpm.S,Table1[[#This Row],[Snapshot]],
IF(
    ISNUMBER(_xlpm.H),
    INT(_xlpm.H)-INT(_xlpm.S),
    "Không giao thời hạn"
))</f>
        <v>Không giao thời hạn</v>
      </c>
      <c r="X232" s="4" t="s">
        <v>269</v>
      </c>
      <c r="Y232" s="5"/>
      <c r="Z232" s="5" t="s">
        <v>35</v>
      </c>
      <c r="AA232" s="5"/>
      <c r="AB232" s="4" t="s">
        <v>270</v>
      </c>
      <c r="AC232" s="6"/>
      <c r="AD232" s="6"/>
      <c r="AE232" s="4">
        <v>0</v>
      </c>
      <c r="AF232" s="26" t="str">
        <f>_xlfn.LET(
_xlpm.H,Table1[[#This Row],[Thời hạn mới nhất (Date)]],
_xlpm.D,Table1[[#This Row],[Dự kiến mới nhất (Date)]],
IF(
NOT(ISNUMBER(_xlpm.H)),"Không giao thời hạn",
IF(
NOT(ISNUMBER(_xlpm.D)),"Chưa có dự kiến",
_xlpm.D-_xlpm.H
)))</f>
        <v>Không giao thời hạn</v>
      </c>
    </row>
    <row r="233" spans="1:32" ht="145.75" x14ac:dyDescent="0.4">
      <c r="A233" s="44">
        <v>46282</v>
      </c>
      <c r="B233" s="4" t="s">
        <v>412</v>
      </c>
      <c r="C233" s="5" t="s">
        <v>352</v>
      </c>
      <c r="D233" s="5">
        <v>28</v>
      </c>
      <c r="E233" s="5" t="str">
        <f>_xlfn.TEXTJOIN("+",TRUE,Table1[[#This Row],[Snapshot]:[ID]])</f>
        <v>46282+DIR-7AE1B02DA1E5</v>
      </c>
      <c r="F233" s="5"/>
      <c r="G233" s="5" t="s">
        <v>1913</v>
      </c>
      <c r="H233" s="20" t="s">
        <v>1914</v>
      </c>
      <c r="I233" s="5" t="s">
        <v>120</v>
      </c>
      <c r="J233" s="4" t="s">
        <v>30</v>
      </c>
      <c r="K233" s="4" t="str" cm="1">
        <f t="array" ref="K23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233" s="4" t="s">
        <v>352</v>
      </c>
      <c r="M233" s="4" t="s">
        <v>413</v>
      </c>
      <c r="N233" s="4" t="s">
        <v>1702</v>
      </c>
      <c r="O233" s="4" t="s">
        <v>191</v>
      </c>
      <c r="P233" s="6">
        <v>46262</v>
      </c>
      <c r="Q233" s="6">
        <v>46262</v>
      </c>
      <c r="R233" s="5">
        <v>1</v>
      </c>
      <c r="S233" s="5" t="s">
        <v>414</v>
      </c>
      <c r="T233" s="13">
        <v>46387</v>
      </c>
      <c r="U233" s="13">
        <v>46387</v>
      </c>
      <c r="V233" s="5">
        <v>0</v>
      </c>
      <c r="W233" s="22">
        <f>_xlfn.LET(
_xlpm.H,Table1[[#This Row],[Thời hạn mới nhất (Date)]],
_xlpm.S,Table1[[#This Row],[Snapshot]],
IF(
    ISNUMBER(_xlpm.H),
    INT(_xlpm.H)-INT(_xlpm.S),
    "Không giao thời hạn"
))</f>
        <v>105</v>
      </c>
      <c r="X233" s="4" t="s">
        <v>934</v>
      </c>
      <c r="Y233" s="5"/>
      <c r="Z233" s="5" t="s">
        <v>35</v>
      </c>
      <c r="AA233" s="5"/>
      <c r="AB233" s="4" t="s">
        <v>935</v>
      </c>
      <c r="AC233" s="6">
        <v>46386</v>
      </c>
      <c r="AD233" s="6">
        <v>46386</v>
      </c>
      <c r="AE233" s="4">
        <v>0</v>
      </c>
      <c r="AF233" s="26">
        <f>_xlfn.LET(
_xlpm.H,Table1[[#This Row],[Thời hạn mới nhất (Date)]],
_xlpm.D,Table1[[#This Row],[Dự kiến mới nhất (Date)]],
IF(
NOT(ISNUMBER(_xlpm.H)),"Không giao thời hạn",
IF(
NOT(ISNUMBER(_xlpm.D)),"Chưa có dự kiến",
_xlpm.D-_xlpm.H
)))</f>
        <v>-1</v>
      </c>
    </row>
    <row r="234" spans="1:32" ht="160.30000000000001" x14ac:dyDescent="0.4">
      <c r="A234" s="44">
        <v>46275</v>
      </c>
      <c r="B234" s="4" t="s">
        <v>412</v>
      </c>
      <c r="C234" s="5" t="s">
        <v>352</v>
      </c>
      <c r="D234" s="5">
        <v>29</v>
      </c>
      <c r="E234" s="5" t="str">
        <f>_xlfn.TEXTJOIN("+",TRUE,Table1[[#This Row],[Snapshot]:[ID]])</f>
        <v>46275+DIR-7AE1B02DA1E5</v>
      </c>
      <c r="F234" s="5"/>
      <c r="G234" s="5" t="s">
        <v>1915</v>
      </c>
      <c r="H234" s="20" t="s">
        <v>1916</v>
      </c>
      <c r="I234" s="5" t="s">
        <v>125</v>
      </c>
      <c r="J234" s="4" t="s">
        <v>30</v>
      </c>
      <c r="K234" s="4" t="str" cm="1">
        <f t="array" ref="K23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234" s="4" t="s">
        <v>352</v>
      </c>
      <c r="M234" s="4" t="s">
        <v>413</v>
      </c>
      <c r="N234" s="4" t="s">
        <v>1702</v>
      </c>
      <c r="O234" s="4" t="s">
        <v>191</v>
      </c>
      <c r="P234" s="6">
        <v>46262</v>
      </c>
      <c r="Q234" s="6">
        <v>46262</v>
      </c>
      <c r="R234" s="5">
        <v>1</v>
      </c>
      <c r="S234" s="5" t="s">
        <v>414</v>
      </c>
      <c r="T234" s="13">
        <v>46387</v>
      </c>
      <c r="U234" s="13">
        <v>46387</v>
      </c>
      <c r="V234" s="5">
        <v>0</v>
      </c>
      <c r="W234" s="22">
        <f>_xlfn.LET(
_xlpm.H,Table1[[#This Row],[Thời hạn mới nhất (Date)]],
_xlpm.S,Table1[[#This Row],[Snapshot]],
IF(
    ISNUMBER(_xlpm.H),
    INT(_xlpm.H)-INT(_xlpm.S),
    "Không giao thời hạn"
))</f>
        <v>112</v>
      </c>
      <c r="X234" s="4" t="s">
        <v>415</v>
      </c>
      <c r="Y234" s="5"/>
      <c r="Z234" s="5"/>
      <c r="AA234" s="5"/>
      <c r="AB234" s="4"/>
      <c r="AC234" s="6"/>
      <c r="AD234" s="6"/>
      <c r="AE234" s="4">
        <v>0</v>
      </c>
      <c r="AF234" s="26" t="str">
        <f>_xlfn.LET(
_xlpm.H,Table1[[#This Row],[Thời hạn mới nhất (Date)]],
_xlpm.D,Table1[[#This Row],[Dự kiến mới nhất (Date)]],
IF(
NOT(ISNUMBER(_xlpm.H)),"Không giao thời hạn",
IF(
NOT(ISNUMBER(_xlpm.D)),"Chưa có dự kiến",
_xlpm.D-_xlpm.H
)))</f>
        <v>Chưa có dự kiến</v>
      </c>
    </row>
    <row r="235" spans="1:32" ht="131.15" x14ac:dyDescent="0.4">
      <c r="A235" s="44">
        <v>46282</v>
      </c>
      <c r="B235" s="4" t="s">
        <v>279</v>
      </c>
      <c r="C235" s="5" t="s">
        <v>266</v>
      </c>
      <c r="D235" s="5">
        <v>16</v>
      </c>
      <c r="E235" s="5" t="str">
        <f>_xlfn.TEXTJOIN("+",TRUE,Table1[[#This Row],[Snapshot]:[ID]])</f>
        <v>46282+DIR-7C83B78E5755</v>
      </c>
      <c r="F235" s="5"/>
      <c r="G235" s="5" t="s">
        <v>1917</v>
      </c>
      <c r="H235" s="20" t="s">
        <v>1918</v>
      </c>
      <c r="I235" s="5" t="s">
        <v>63</v>
      </c>
      <c r="J235" s="4" t="s">
        <v>30</v>
      </c>
      <c r="K235" s="4" t="str" cm="1">
        <f t="array" ref="K23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35" s="4" t="s">
        <v>266</v>
      </c>
      <c r="M235" s="4" t="s">
        <v>190</v>
      </c>
      <c r="N235" s="4" t="s">
        <v>1718</v>
      </c>
      <c r="O235" s="4" t="s">
        <v>191</v>
      </c>
      <c r="P235" s="6">
        <v>46262</v>
      </c>
      <c r="Q235" s="6">
        <v>46262</v>
      </c>
      <c r="R235" s="5">
        <v>1</v>
      </c>
      <c r="S235" s="5" t="s">
        <v>192</v>
      </c>
      <c r="T235" s="13">
        <v>46295</v>
      </c>
      <c r="U235" s="13">
        <v>46295</v>
      </c>
      <c r="V235" s="5">
        <v>0</v>
      </c>
      <c r="W235" s="22">
        <f>_xlfn.LET(
_xlpm.H,Table1[[#This Row],[Thời hạn mới nhất (Date)]],
_xlpm.S,Table1[[#This Row],[Snapshot]],
IF(
    ISNUMBER(_xlpm.H),
    INT(_xlpm.H)-INT(_xlpm.S),
    "Không giao thời hạn"
))</f>
        <v>13</v>
      </c>
      <c r="X235" s="4" t="s">
        <v>280</v>
      </c>
      <c r="Y235" s="5"/>
      <c r="Z235" s="5" t="s">
        <v>35</v>
      </c>
      <c r="AA235" s="5"/>
      <c r="AB235" s="4" t="s">
        <v>281</v>
      </c>
      <c r="AC235" s="6"/>
      <c r="AD235" s="6"/>
      <c r="AE235" s="4">
        <v>0</v>
      </c>
      <c r="AF235" s="26" t="str">
        <f>_xlfn.LET(
_xlpm.H,Table1[[#This Row],[Thời hạn mới nhất (Date)]],
_xlpm.D,Table1[[#This Row],[Dự kiến mới nhất (Date)]],
IF(
NOT(ISNUMBER(_xlpm.H)),"Không giao thời hạn",
IF(
NOT(ISNUMBER(_xlpm.D)),"Chưa có dự kiến",
_xlpm.D-_xlpm.H
)))</f>
        <v>Chưa có dự kiến</v>
      </c>
    </row>
    <row r="236" spans="1:32" ht="160.30000000000001" x14ac:dyDescent="0.4">
      <c r="A236" s="44">
        <v>46275</v>
      </c>
      <c r="B236" s="4" t="s">
        <v>279</v>
      </c>
      <c r="C236" s="5" t="s">
        <v>266</v>
      </c>
      <c r="D236" s="5">
        <v>16</v>
      </c>
      <c r="E236" s="5" t="str">
        <f>_xlfn.TEXTJOIN("+",TRUE,Table1[[#This Row],[Snapshot]:[ID]])</f>
        <v>46275+DIR-7C83B78E5755</v>
      </c>
      <c r="F236" s="5"/>
      <c r="G236" s="5" t="s">
        <v>1919</v>
      </c>
      <c r="H236" s="20" t="s">
        <v>1920</v>
      </c>
      <c r="I236" s="5" t="s">
        <v>63</v>
      </c>
      <c r="J236" s="4" t="s">
        <v>30</v>
      </c>
      <c r="K236" s="4" t="str" cm="1">
        <f t="array" ref="K23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36" s="4" t="s">
        <v>266</v>
      </c>
      <c r="M236" s="4" t="s">
        <v>190</v>
      </c>
      <c r="N236" s="4" t="s">
        <v>1718</v>
      </c>
      <c r="O236" s="4" t="s">
        <v>191</v>
      </c>
      <c r="P236" s="6">
        <v>46262</v>
      </c>
      <c r="Q236" s="6">
        <v>46262</v>
      </c>
      <c r="R236" s="5">
        <v>1</v>
      </c>
      <c r="S236" s="5" t="s">
        <v>192</v>
      </c>
      <c r="T236" s="13">
        <v>46295</v>
      </c>
      <c r="U236" s="13">
        <v>46295</v>
      </c>
      <c r="V236" s="5">
        <v>0</v>
      </c>
      <c r="W236" s="22">
        <f>_xlfn.LET(
_xlpm.H,Table1[[#This Row],[Thời hạn mới nhất (Date)]],
_xlpm.S,Table1[[#This Row],[Snapshot]],
IF(
    ISNUMBER(_xlpm.H),
    INT(_xlpm.H)-INT(_xlpm.S),
    "Không giao thời hạn"
))</f>
        <v>20</v>
      </c>
      <c r="X236" s="4" t="s">
        <v>280</v>
      </c>
      <c r="Y236" s="5"/>
      <c r="Z236" s="5" t="s">
        <v>35</v>
      </c>
      <c r="AA236" s="5"/>
      <c r="AB236" s="4" t="s">
        <v>281</v>
      </c>
      <c r="AC236" s="6"/>
      <c r="AD236" s="6"/>
      <c r="AE236" s="4">
        <v>0</v>
      </c>
      <c r="AF236" s="26" t="str">
        <f>_xlfn.LET(
_xlpm.H,Table1[[#This Row],[Thời hạn mới nhất (Date)]],
_xlpm.D,Table1[[#This Row],[Dự kiến mới nhất (Date)]],
IF(
NOT(ISNUMBER(_xlpm.H)),"Không giao thời hạn",
IF(
NOT(ISNUMBER(_xlpm.D)),"Chưa có dự kiến",
_xlpm.D-_xlpm.H
)))</f>
        <v>Chưa có dự kiến</v>
      </c>
    </row>
    <row r="237" spans="1:32" ht="233.15" x14ac:dyDescent="0.4">
      <c r="A237" s="44">
        <v>46282</v>
      </c>
      <c r="B237" s="4" t="s">
        <v>738</v>
      </c>
      <c r="C237" s="5" t="s">
        <v>688</v>
      </c>
      <c r="D237" s="5">
        <v>31</v>
      </c>
      <c r="E237" s="5" t="str">
        <f>_xlfn.TEXTJOIN("+",TRUE,Table1[[#This Row],[Snapshot]:[ID]])</f>
        <v>46282+DIR-7F42CCB10F25</v>
      </c>
      <c r="F237" s="5"/>
      <c r="G237" s="5" t="s">
        <v>1402</v>
      </c>
      <c r="H237" s="20" t="s">
        <v>1403</v>
      </c>
      <c r="I237" s="5" t="s">
        <v>111</v>
      </c>
      <c r="J237" s="4" t="s">
        <v>689</v>
      </c>
      <c r="K237" s="4" t="str" cm="1">
        <f t="array" ref="K23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237" s="4" t="s">
        <v>688</v>
      </c>
      <c r="M237" s="4" t="s">
        <v>739</v>
      </c>
      <c r="N237" s="4" t="s">
        <v>1696</v>
      </c>
      <c r="O237" s="4" t="s">
        <v>65</v>
      </c>
      <c r="P237" s="6">
        <v>46216</v>
      </c>
      <c r="Q237" s="6">
        <v>46216</v>
      </c>
      <c r="R237" s="5">
        <v>1</v>
      </c>
      <c r="S237" s="5"/>
      <c r="T237" s="13"/>
      <c r="U237" s="13"/>
      <c r="V237" s="5">
        <v>0</v>
      </c>
      <c r="W237" s="22" t="str">
        <f>_xlfn.LET(
_xlpm.H,Table1[[#This Row],[Thời hạn mới nhất (Date)]],
_xlpm.S,Table1[[#This Row],[Snapshot]],
IF(
    ISNUMBER(_xlpm.H),
    INT(_xlpm.H)-INT(_xlpm.S),
    "Không giao thời hạn"
))</f>
        <v>Không giao thời hạn</v>
      </c>
      <c r="X237" s="4" t="s">
        <v>740</v>
      </c>
      <c r="Y237" s="5"/>
      <c r="Z237" s="5" t="s">
        <v>35</v>
      </c>
      <c r="AA237" s="5"/>
      <c r="AB237" s="4"/>
      <c r="AC237" s="6"/>
      <c r="AD237" s="6"/>
      <c r="AE237" s="4">
        <v>0</v>
      </c>
      <c r="AF237" s="26" t="str">
        <f>_xlfn.LET(
_xlpm.H,Table1[[#This Row],[Thời hạn mới nhất (Date)]],
_xlpm.D,Table1[[#This Row],[Dự kiến mới nhất (Date)]],
IF(
NOT(ISNUMBER(_xlpm.H)),"Không giao thời hạn",
IF(
NOT(ISNUMBER(_xlpm.D)),"Chưa có dự kiến",
_xlpm.D-_xlpm.H
)))</f>
        <v>Không giao thời hạn</v>
      </c>
    </row>
    <row r="238" spans="1:32" ht="233.15" x14ac:dyDescent="0.4">
      <c r="A238" s="44">
        <v>46275</v>
      </c>
      <c r="B238" s="4" t="s">
        <v>738</v>
      </c>
      <c r="C238" s="5" t="s">
        <v>688</v>
      </c>
      <c r="D238" s="5">
        <v>31</v>
      </c>
      <c r="E238" s="5" t="str">
        <f>_xlfn.TEXTJOIN("+",TRUE,Table1[[#This Row],[Snapshot]:[ID]])</f>
        <v>46275+DIR-7F42CCB10F25</v>
      </c>
      <c r="F238" s="5"/>
      <c r="G238" s="5" t="s">
        <v>1404</v>
      </c>
      <c r="H238" s="20" t="s">
        <v>1405</v>
      </c>
      <c r="I238" s="5" t="s">
        <v>111</v>
      </c>
      <c r="J238" s="4" t="s">
        <v>689</v>
      </c>
      <c r="K238" s="4" t="str" cm="1">
        <f t="array" ref="K23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238" s="4" t="s">
        <v>688</v>
      </c>
      <c r="M238" s="4" t="s">
        <v>739</v>
      </c>
      <c r="N238" s="4" t="s">
        <v>1696</v>
      </c>
      <c r="O238" s="4" t="s">
        <v>65</v>
      </c>
      <c r="P238" s="6">
        <v>46216</v>
      </c>
      <c r="Q238" s="6">
        <v>46216</v>
      </c>
      <c r="R238" s="5">
        <v>1</v>
      </c>
      <c r="S238" s="5"/>
      <c r="T238" s="13"/>
      <c r="U238" s="13"/>
      <c r="V238" s="5">
        <v>0</v>
      </c>
      <c r="W238" s="22" t="str">
        <f>_xlfn.LET(
_xlpm.H,Table1[[#This Row],[Thời hạn mới nhất (Date)]],
_xlpm.S,Table1[[#This Row],[Snapshot]],
IF(
    ISNUMBER(_xlpm.H),
    INT(_xlpm.H)-INT(_xlpm.S),
    "Không giao thời hạn"
))</f>
        <v>Không giao thời hạn</v>
      </c>
      <c r="X238" s="4" t="s">
        <v>740</v>
      </c>
      <c r="Y238" s="5"/>
      <c r="Z238" s="5" t="s">
        <v>35</v>
      </c>
      <c r="AA238" s="5"/>
      <c r="AB238" s="4"/>
      <c r="AC238" s="6"/>
      <c r="AD238" s="6"/>
      <c r="AE238" s="4">
        <v>0</v>
      </c>
      <c r="AF238" s="26" t="str">
        <f>_xlfn.LET(
_xlpm.H,Table1[[#This Row],[Thời hạn mới nhất (Date)]],
_xlpm.D,Table1[[#This Row],[Dự kiến mới nhất (Date)]],
IF(
NOT(ISNUMBER(_xlpm.H)),"Không giao thời hạn",
IF(
NOT(ISNUMBER(_xlpm.D)),"Chưa có dự kiến",
_xlpm.D-_xlpm.H
)))</f>
        <v>Không giao thời hạn</v>
      </c>
    </row>
    <row r="239" spans="1:32" ht="116.6" x14ac:dyDescent="0.4">
      <c r="A239" s="44">
        <v>46275</v>
      </c>
      <c r="B239" s="4" t="s">
        <v>868</v>
      </c>
      <c r="C239" s="5" t="s">
        <v>861</v>
      </c>
      <c r="D239" s="5">
        <v>15</v>
      </c>
      <c r="E239" s="5" t="str">
        <f>_xlfn.TEXTJOIN("+",TRUE,Table1[[#This Row],[Snapshot]:[ID]])</f>
        <v>46275+DIR-800D9B3D7FD9</v>
      </c>
      <c r="F239" s="5"/>
      <c r="G239" s="5" t="s">
        <v>1370</v>
      </c>
      <c r="H239" s="20" t="s">
        <v>1371</v>
      </c>
      <c r="I239" s="5" t="s">
        <v>57</v>
      </c>
      <c r="J239" s="4" t="s">
        <v>30</v>
      </c>
      <c r="K239" s="4" t="str" cm="1">
        <f t="array" ref="K23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239" s="4" t="s">
        <v>861</v>
      </c>
      <c r="M239" s="4" t="s">
        <v>506</v>
      </c>
      <c r="N239" s="4" t="s">
        <v>1709</v>
      </c>
      <c r="O239" s="4" t="s">
        <v>181</v>
      </c>
      <c r="P239" s="6">
        <v>46270</v>
      </c>
      <c r="Q239" s="6">
        <v>46270</v>
      </c>
      <c r="R239" s="5">
        <v>1</v>
      </c>
      <c r="S239" s="5" t="s">
        <v>176</v>
      </c>
      <c r="T239" s="13">
        <v>46280</v>
      </c>
      <c r="U239" s="13">
        <v>46280</v>
      </c>
      <c r="V239" s="5">
        <v>0</v>
      </c>
      <c r="W239" s="22">
        <f>_xlfn.LET(
_xlpm.H,Table1[[#This Row],[Thời hạn mới nhất (Date)]],
_xlpm.S,Table1[[#This Row],[Snapshot]],
IF(
    ISNUMBER(_xlpm.H),
    INT(_xlpm.H)-INT(_xlpm.S),
    "Không giao thời hạn"
))</f>
        <v>5</v>
      </c>
      <c r="X239" s="4" t="s">
        <v>869</v>
      </c>
      <c r="Y239" s="5"/>
      <c r="Z239" s="5" t="s">
        <v>35</v>
      </c>
      <c r="AA239" s="5"/>
      <c r="AB239" s="4"/>
      <c r="AC239" s="6"/>
      <c r="AD239" s="6"/>
      <c r="AE239" s="4">
        <v>0</v>
      </c>
      <c r="AF239" s="26" t="str">
        <f>_xlfn.LET(
_xlpm.H,Table1[[#This Row],[Thời hạn mới nhất (Date)]],
_xlpm.D,Table1[[#This Row],[Dự kiến mới nhất (Date)]],
IF(
NOT(ISNUMBER(_xlpm.H)),"Không giao thời hạn",
IF(
NOT(ISNUMBER(_xlpm.D)),"Chưa có dự kiến",
_xlpm.D-_xlpm.H
)))</f>
        <v>Chưa có dự kiến</v>
      </c>
    </row>
    <row r="240" spans="1:32" ht="58.3" x14ac:dyDescent="0.4">
      <c r="A240" s="44">
        <v>46282</v>
      </c>
      <c r="B240" s="4" t="s">
        <v>630</v>
      </c>
      <c r="C240" s="5" t="s">
        <v>607</v>
      </c>
      <c r="D240" s="5">
        <v>19</v>
      </c>
      <c r="E240" s="5" t="str">
        <f>_xlfn.TEXTJOIN("+",TRUE,Table1[[#This Row],[Snapshot]:[ID]])</f>
        <v>46282+DIR-80366D683E5A</v>
      </c>
      <c r="F240" s="5"/>
      <c r="G240" s="5" t="s">
        <v>1311</v>
      </c>
      <c r="H240" s="20" t="s">
        <v>1311</v>
      </c>
      <c r="I240" s="5" t="s">
        <v>80</v>
      </c>
      <c r="J240" s="4" t="s">
        <v>30</v>
      </c>
      <c r="K240" s="4" t="str" cm="1">
        <f t="array" ref="K24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240" s="4" t="s">
        <v>607</v>
      </c>
      <c r="M240" s="4" t="s">
        <v>631</v>
      </c>
      <c r="N240" s="4" t="s">
        <v>1700</v>
      </c>
      <c r="O240" s="4" t="s">
        <v>275</v>
      </c>
      <c r="P240" s="6">
        <v>46256</v>
      </c>
      <c r="Q240" s="6">
        <v>46256</v>
      </c>
      <c r="R240" s="5">
        <v>1</v>
      </c>
      <c r="S240" s="5" t="s">
        <v>369</v>
      </c>
      <c r="T240" s="13">
        <v>46387</v>
      </c>
      <c r="U240" s="13">
        <v>46387</v>
      </c>
      <c r="V240" s="5">
        <v>0</v>
      </c>
      <c r="W240" s="22">
        <f>_xlfn.LET(
_xlpm.H,Table1[[#This Row],[Thời hạn mới nhất (Date)]],
_xlpm.S,Table1[[#This Row],[Snapshot]],
IF(
    ISNUMBER(_xlpm.H),
    INT(_xlpm.H)-INT(_xlpm.S),
    "Không giao thời hạn"
))</f>
        <v>105</v>
      </c>
      <c r="X240" s="4" t="s">
        <v>626</v>
      </c>
      <c r="Y240" s="5"/>
      <c r="Z240" s="5" t="s">
        <v>35</v>
      </c>
      <c r="AA240" s="5"/>
      <c r="AB240" s="4"/>
      <c r="AC240" s="6"/>
      <c r="AD240" s="6"/>
      <c r="AE240" s="4">
        <v>0</v>
      </c>
      <c r="AF240" s="26" t="str">
        <f>_xlfn.LET(
_xlpm.H,Table1[[#This Row],[Thời hạn mới nhất (Date)]],
_xlpm.D,Table1[[#This Row],[Dự kiến mới nhất (Date)]],
IF(
NOT(ISNUMBER(_xlpm.H)),"Không giao thời hạn",
IF(
NOT(ISNUMBER(_xlpm.D)),"Chưa có dự kiến",
_xlpm.D-_xlpm.H
)))</f>
        <v>Chưa có dự kiến</v>
      </c>
    </row>
    <row r="241" spans="1:32" ht="58.3" x14ac:dyDescent="0.4">
      <c r="A241" s="44">
        <v>46275</v>
      </c>
      <c r="B241" s="4" t="s">
        <v>630</v>
      </c>
      <c r="C241" s="5" t="s">
        <v>607</v>
      </c>
      <c r="D241" s="5">
        <v>19</v>
      </c>
      <c r="E241" s="5" t="str">
        <f>_xlfn.TEXTJOIN("+",TRUE,Table1[[#This Row],[Snapshot]:[ID]])</f>
        <v>46275+DIR-80366D683E5A</v>
      </c>
      <c r="F241" s="5"/>
      <c r="G241" s="5" t="s">
        <v>1311</v>
      </c>
      <c r="H241" s="20" t="s">
        <v>1311</v>
      </c>
      <c r="I241" s="5" t="s">
        <v>80</v>
      </c>
      <c r="J241" s="4" t="s">
        <v>30</v>
      </c>
      <c r="K241" s="4" t="str" cm="1">
        <f t="array" ref="K24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241" s="4" t="s">
        <v>607</v>
      </c>
      <c r="M241" s="4" t="s">
        <v>631</v>
      </c>
      <c r="N241" s="4" t="s">
        <v>1700</v>
      </c>
      <c r="O241" s="4" t="s">
        <v>275</v>
      </c>
      <c r="P241" s="6">
        <v>46256</v>
      </c>
      <c r="Q241" s="6">
        <v>46256</v>
      </c>
      <c r="R241" s="5">
        <v>1</v>
      </c>
      <c r="S241" s="5" t="s">
        <v>369</v>
      </c>
      <c r="T241" s="13">
        <v>46387</v>
      </c>
      <c r="U241" s="13">
        <v>46387</v>
      </c>
      <c r="V241" s="5">
        <v>0</v>
      </c>
      <c r="W241" s="22">
        <f>_xlfn.LET(
_xlpm.H,Table1[[#This Row],[Thời hạn mới nhất (Date)]],
_xlpm.S,Table1[[#This Row],[Snapshot]],
IF(
    ISNUMBER(_xlpm.H),
    INT(_xlpm.H)-INT(_xlpm.S),
    "Không giao thời hạn"
))</f>
        <v>112</v>
      </c>
      <c r="X241" s="4" t="s">
        <v>626</v>
      </c>
      <c r="Y241" s="5"/>
      <c r="Z241" s="5" t="s">
        <v>35</v>
      </c>
      <c r="AA241" s="5"/>
      <c r="AB241" s="4"/>
      <c r="AC241" s="6"/>
      <c r="AD241" s="6"/>
      <c r="AE241" s="4">
        <v>0</v>
      </c>
      <c r="AF241" s="26" t="str">
        <f>_xlfn.LET(
_xlpm.H,Table1[[#This Row],[Thời hạn mới nhất (Date)]],
_xlpm.D,Table1[[#This Row],[Dự kiến mới nhất (Date)]],
IF(
NOT(ISNUMBER(_xlpm.H)),"Không giao thời hạn",
IF(
NOT(ISNUMBER(_xlpm.D)),"Chưa có dự kiến",
_xlpm.D-_xlpm.H
)))</f>
        <v>Chưa có dự kiến</v>
      </c>
    </row>
    <row r="242" spans="1:32" ht="160.30000000000001" x14ac:dyDescent="0.4">
      <c r="A242" s="44">
        <v>46282</v>
      </c>
      <c r="B242" s="4" t="s">
        <v>602</v>
      </c>
      <c r="C242" s="5" t="s">
        <v>570</v>
      </c>
      <c r="D242" s="5">
        <v>25</v>
      </c>
      <c r="E242" s="5" t="str">
        <f>_xlfn.TEXTJOIN("+",TRUE,Table1[[#This Row],[Snapshot]:[ID]])</f>
        <v>46282+DIR-81177DF8FFA3</v>
      </c>
      <c r="F242" s="5"/>
      <c r="G242" s="5" t="s">
        <v>1330</v>
      </c>
      <c r="H242" s="20" t="s">
        <v>1331</v>
      </c>
      <c r="I242" s="5" t="s">
        <v>52</v>
      </c>
      <c r="J242" s="4" t="s">
        <v>200</v>
      </c>
      <c r="K242" s="4" t="str" cm="1">
        <f t="array" ref="K24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242" s="4" t="s">
        <v>570</v>
      </c>
      <c r="M242" s="4" t="s">
        <v>603</v>
      </c>
      <c r="N242" s="4" t="s">
        <v>1697</v>
      </c>
      <c r="O242" s="4" t="s">
        <v>604</v>
      </c>
      <c r="P242" s="6">
        <v>45878</v>
      </c>
      <c r="Q242" s="6">
        <v>45878</v>
      </c>
      <c r="R242" s="5">
        <v>1</v>
      </c>
      <c r="S242" s="5"/>
      <c r="T242" s="13"/>
      <c r="U242" s="13"/>
      <c r="V242" s="5">
        <v>0</v>
      </c>
      <c r="W242" s="22" t="str">
        <f>_xlfn.LET(
_xlpm.H,Table1[[#This Row],[Thời hạn mới nhất (Date)]],
_xlpm.S,Table1[[#This Row],[Snapshot]],
IF(
    ISNUMBER(_xlpm.H),
    INT(_xlpm.H)-INT(_xlpm.S),
    "Không giao thời hạn"
))</f>
        <v>Không giao thời hạn</v>
      </c>
      <c r="X242" s="4" t="s">
        <v>961</v>
      </c>
      <c r="Y242" s="5"/>
      <c r="Z242" s="5" t="s">
        <v>35</v>
      </c>
      <c r="AA242" s="5"/>
      <c r="AB242" s="4"/>
      <c r="AC242" s="6"/>
      <c r="AD242" s="6"/>
      <c r="AE242" s="4">
        <v>0</v>
      </c>
      <c r="AF242" s="26" t="str">
        <f>_xlfn.LET(
_xlpm.H,Table1[[#This Row],[Thời hạn mới nhất (Date)]],
_xlpm.D,Table1[[#This Row],[Dự kiến mới nhất (Date)]],
IF(
NOT(ISNUMBER(_xlpm.H)),"Không giao thời hạn",
IF(
NOT(ISNUMBER(_xlpm.D)),"Chưa có dự kiến",
_xlpm.D-_xlpm.H
)))</f>
        <v>Không giao thời hạn</v>
      </c>
    </row>
    <row r="243" spans="1:32" ht="160.30000000000001" x14ac:dyDescent="0.4">
      <c r="A243" s="44">
        <v>46275</v>
      </c>
      <c r="B243" s="4" t="s">
        <v>602</v>
      </c>
      <c r="C243" s="5" t="s">
        <v>570</v>
      </c>
      <c r="D243" s="5">
        <v>25</v>
      </c>
      <c r="E243" s="5" t="str">
        <f>_xlfn.TEXTJOIN("+",TRUE,Table1[[#This Row],[Snapshot]:[ID]])</f>
        <v>46275+DIR-81177DF8FFA3</v>
      </c>
      <c r="F243" s="5"/>
      <c r="G243" s="5" t="s">
        <v>1332</v>
      </c>
      <c r="H243" s="20" t="s">
        <v>1333</v>
      </c>
      <c r="I243" s="5" t="s">
        <v>52</v>
      </c>
      <c r="J243" s="4" t="s">
        <v>200</v>
      </c>
      <c r="K243" s="4" t="str" cm="1">
        <f t="array" ref="K24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243" s="4" t="s">
        <v>570</v>
      </c>
      <c r="M243" s="4" t="s">
        <v>603</v>
      </c>
      <c r="N243" s="4" t="s">
        <v>1697</v>
      </c>
      <c r="O243" s="4" t="s">
        <v>604</v>
      </c>
      <c r="P243" s="6">
        <v>45878</v>
      </c>
      <c r="Q243" s="6">
        <v>45878</v>
      </c>
      <c r="R243" s="5">
        <v>1</v>
      </c>
      <c r="S243" s="5"/>
      <c r="T243" s="13"/>
      <c r="U243" s="13"/>
      <c r="V243" s="5">
        <v>0</v>
      </c>
      <c r="W243" s="22" t="str">
        <f>_xlfn.LET(
_xlpm.H,Table1[[#This Row],[Thời hạn mới nhất (Date)]],
_xlpm.S,Table1[[#This Row],[Snapshot]],
IF(
    ISNUMBER(_xlpm.H),
    INT(_xlpm.H)-INT(_xlpm.S),
    "Không giao thời hạn"
))</f>
        <v>Không giao thời hạn</v>
      </c>
      <c r="X243" s="4" t="s">
        <v>605</v>
      </c>
      <c r="Y243" s="5"/>
      <c r="Z243" s="5" t="s">
        <v>35</v>
      </c>
      <c r="AA243" s="5"/>
      <c r="AB243" s="4"/>
      <c r="AC243" s="6"/>
      <c r="AD243" s="6"/>
      <c r="AE243" s="4">
        <v>0</v>
      </c>
      <c r="AF243" s="26" t="str">
        <f>_xlfn.LET(
_xlpm.H,Table1[[#This Row],[Thời hạn mới nhất (Date)]],
_xlpm.D,Table1[[#This Row],[Dự kiến mới nhất (Date)]],
IF(
NOT(ISNUMBER(_xlpm.H)),"Không giao thời hạn",
IF(
NOT(ISNUMBER(_xlpm.D)),"Chưa có dự kiến",
_xlpm.D-_xlpm.H
)))</f>
        <v>Không giao thời hạn</v>
      </c>
    </row>
    <row r="244" spans="1:32" ht="116.6" x14ac:dyDescent="0.4">
      <c r="A244" s="44">
        <v>46282</v>
      </c>
      <c r="B244" s="4" t="s">
        <v>286</v>
      </c>
      <c r="C244" s="5" t="s">
        <v>266</v>
      </c>
      <c r="D244" s="5">
        <v>18</v>
      </c>
      <c r="E244" s="5" t="str">
        <f>_xlfn.TEXTJOIN("+",TRUE,Table1[[#This Row],[Snapshot]:[ID]])</f>
        <v>46282+DIR-81BD56096E2E</v>
      </c>
      <c r="F244" s="5"/>
      <c r="G244" s="5" t="s">
        <v>1921</v>
      </c>
      <c r="H244" s="20" t="s">
        <v>1922</v>
      </c>
      <c r="I244" s="5" t="s">
        <v>75</v>
      </c>
      <c r="J244" s="4" t="s">
        <v>30</v>
      </c>
      <c r="K244" s="4" t="str" cm="1">
        <f t="array" ref="K24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44" s="4" t="s">
        <v>266</v>
      </c>
      <c r="M244" s="4" t="s">
        <v>186</v>
      </c>
      <c r="N244" s="4" t="s">
        <v>1718</v>
      </c>
      <c r="O244" s="4" t="s">
        <v>181</v>
      </c>
      <c r="P244" s="6">
        <v>46270</v>
      </c>
      <c r="Q244" s="6">
        <v>46270</v>
      </c>
      <c r="R244" s="5">
        <v>1</v>
      </c>
      <c r="S244" s="5"/>
      <c r="T244" s="13"/>
      <c r="U244" s="13"/>
      <c r="V244" s="5">
        <v>0</v>
      </c>
      <c r="W244" s="22" t="str">
        <f>_xlfn.LET(
_xlpm.H,Table1[[#This Row],[Thời hạn mới nhất (Date)]],
_xlpm.S,Table1[[#This Row],[Snapshot]],
IF(
    ISNUMBER(_xlpm.H),
    INT(_xlpm.H)-INT(_xlpm.S),
    "Không giao thời hạn"
))</f>
        <v>Không giao thời hạn</v>
      </c>
      <c r="X244" s="4" t="s">
        <v>287</v>
      </c>
      <c r="Y244" s="5"/>
      <c r="Z244" s="5" t="s">
        <v>35</v>
      </c>
      <c r="AA244" s="5"/>
      <c r="AB244" s="4" t="s">
        <v>281</v>
      </c>
      <c r="AC244" s="6"/>
      <c r="AD244" s="6"/>
      <c r="AE244" s="4">
        <v>0</v>
      </c>
      <c r="AF244" s="26" t="str">
        <f>_xlfn.LET(
_xlpm.H,Table1[[#This Row],[Thời hạn mới nhất (Date)]],
_xlpm.D,Table1[[#This Row],[Dự kiến mới nhất (Date)]],
IF(
NOT(ISNUMBER(_xlpm.H)),"Không giao thời hạn",
IF(
NOT(ISNUMBER(_xlpm.D)),"Chưa có dự kiến",
_xlpm.D-_xlpm.H
)))</f>
        <v>Không giao thời hạn</v>
      </c>
    </row>
    <row r="245" spans="1:32" ht="160.30000000000001" x14ac:dyDescent="0.4">
      <c r="A245" s="44">
        <v>46275</v>
      </c>
      <c r="B245" s="4" t="s">
        <v>286</v>
      </c>
      <c r="C245" s="5" t="s">
        <v>266</v>
      </c>
      <c r="D245" s="5">
        <v>18</v>
      </c>
      <c r="E245" s="5" t="str">
        <f>_xlfn.TEXTJOIN("+",TRUE,Table1[[#This Row],[Snapshot]:[ID]])</f>
        <v>46275+DIR-81BD56096E2E</v>
      </c>
      <c r="F245" s="5"/>
      <c r="G245" s="5" t="s">
        <v>1923</v>
      </c>
      <c r="H245" s="20" t="s">
        <v>1924</v>
      </c>
      <c r="I245" s="5" t="s">
        <v>75</v>
      </c>
      <c r="J245" s="4" t="s">
        <v>30</v>
      </c>
      <c r="K245" s="4" t="str" cm="1">
        <f t="array" ref="K24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45" s="4" t="s">
        <v>266</v>
      </c>
      <c r="M245" s="4" t="s">
        <v>186</v>
      </c>
      <c r="N245" s="4" t="s">
        <v>1718</v>
      </c>
      <c r="O245" s="4" t="s">
        <v>181</v>
      </c>
      <c r="P245" s="6">
        <v>46270</v>
      </c>
      <c r="Q245" s="6">
        <v>46270</v>
      </c>
      <c r="R245" s="5">
        <v>1</v>
      </c>
      <c r="S245" s="5"/>
      <c r="T245" s="13"/>
      <c r="U245" s="13"/>
      <c r="V245" s="5">
        <v>0</v>
      </c>
      <c r="W245" s="22" t="str">
        <f>_xlfn.LET(
_xlpm.H,Table1[[#This Row],[Thời hạn mới nhất (Date)]],
_xlpm.S,Table1[[#This Row],[Snapshot]],
IF(
    ISNUMBER(_xlpm.H),
    INT(_xlpm.H)-INT(_xlpm.S),
    "Không giao thời hạn"
))</f>
        <v>Không giao thời hạn</v>
      </c>
      <c r="X245" s="4" t="s">
        <v>287</v>
      </c>
      <c r="Y245" s="5"/>
      <c r="Z245" s="5" t="s">
        <v>35</v>
      </c>
      <c r="AA245" s="5"/>
      <c r="AB245" s="4" t="s">
        <v>281</v>
      </c>
      <c r="AC245" s="6"/>
      <c r="AD245" s="6"/>
      <c r="AE245" s="4">
        <v>0</v>
      </c>
      <c r="AF245" s="26" t="str">
        <f>_xlfn.LET(
_xlpm.H,Table1[[#This Row],[Thời hạn mới nhất (Date)]],
_xlpm.D,Table1[[#This Row],[Dự kiến mới nhất (Date)]],
IF(
NOT(ISNUMBER(_xlpm.H)),"Không giao thời hạn",
IF(
NOT(ISNUMBER(_xlpm.D)),"Chưa có dự kiến",
_xlpm.D-_xlpm.H
)))</f>
        <v>Không giao thời hạn</v>
      </c>
    </row>
    <row r="246" spans="1:32" ht="116.6" x14ac:dyDescent="0.4">
      <c r="A246" s="44">
        <v>46275</v>
      </c>
      <c r="B246" s="4" t="s">
        <v>885</v>
      </c>
      <c r="C246" s="5" t="s">
        <v>877</v>
      </c>
      <c r="D246" s="5">
        <v>16</v>
      </c>
      <c r="E246" s="5" t="str">
        <f>_xlfn.TEXTJOIN("+",TRUE,Table1[[#This Row],[Snapshot]:[ID]])</f>
        <v>46275+DIR-8428B5A6460C</v>
      </c>
      <c r="F246" s="5"/>
      <c r="G246" s="5" t="s">
        <v>1334</v>
      </c>
      <c r="H246" s="20" t="s">
        <v>1335</v>
      </c>
      <c r="I246" s="5" t="s">
        <v>63</v>
      </c>
      <c r="J246" s="4" t="s">
        <v>30</v>
      </c>
      <c r="K246" s="4" t="str" cm="1">
        <f t="array" ref="K24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246" s="4" t="s">
        <v>877</v>
      </c>
      <c r="M246" s="4" t="s">
        <v>886</v>
      </c>
      <c r="N246" s="4" t="s">
        <v>1720</v>
      </c>
      <c r="O246" s="4" t="s">
        <v>181</v>
      </c>
      <c r="P246" s="6">
        <v>46270</v>
      </c>
      <c r="Q246" s="6">
        <v>46270</v>
      </c>
      <c r="R246" s="5">
        <v>1</v>
      </c>
      <c r="S246" s="5"/>
      <c r="T246" s="13"/>
      <c r="U246" s="13"/>
      <c r="V246" s="5">
        <v>0</v>
      </c>
      <c r="W246" s="22" t="str">
        <f>_xlfn.LET(
_xlpm.H,Table1[[#This Row],[Thời hạn mới nhất (Date)]],
_xlpm.S,Table1[[#This Row],[Snapshot]],
IF(
    ISNUMBER(_xlpm.H),
    INT(_xlpm.H)-INT(_xlpm.S),
    "Không giao thời hạn"
))</f>
        <v>Không giao thời hạn</v>
      </c>
      <c r="X246" s="4"/>
      <c r="Y246" s="5"/>
      <c r="Z246" s="5"/>
      <c r="AA246" s="5"/>
      <c r="AB246" s="4"/>
      <c r="AC246" s="6"/>
      <c r="AD246" s="6"/>
      <c r="AE246" s="4">
        <v>0</v>
      </c>
      <c r="AF246" s="26" t="str">
        <f>_xlfn.LET(
_xlpm.H,Table1[[#This Row],[Thời hạn mới nhất (Date)]],
_xlpm.D,Table1[[#This Row],[Dự kiến mới nhất (Date)]],
IF(
NOT(ISNUMBER(_xlpm.H)),"Không giao thời hạn",
IF(
NOT(ISNUMBER(_xlpm.D)),"Chưa có dự kiến",
_xlpm.D-_xlpm.H
)))</f>
        <v>Không giao thời hạn</v>
      </c>
    </row>
    <row r="247" spans="1:32" ht="262.3" x14ac:dyDescent="0.4">
      <c r="A247" s="44">
        <v>46282</v>
      </c>
      <c r="B247" s="4" t="s">
        <v>645</v>
      </c>
      <c r="C247" s="5" t="s">
        <v>607</v>
      </c>
      <c r="D247" s="5">
        <v>24</v>
      </c>
      <c r="E247" s="5" t="str">
        <f>_xlfn.TEXTJOIN("+",TRUE,Table1[[#This Row],[Snapshot]:[ID]])</f>
        <v>46282+DIR-847BDE904E35</v>
      </c>
      <c r="F247" s="5"/>
      <c r="G247" s="5" t="s">
        <v>1312</v>
      </c>
      <c r="H247" s="20" t="s">
        <v>1312</v>
      </c>
      <c r="I247" s="5" t="s">
        <v>101</v>
      </c>
      <c r="J247" s="4" t="s">
        <v>30</v>
      </c>
      <c r="K247" s="4" t="str" cm="1">
        <f t="array" ref="K24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247" s="4" t="s">
        <v>607</v>
      </c>
      <c r="M247" s="4" t="s">
        <v>180</v>
      </c>
      <c r="N247" s="4" t="s">
        <v>1700</v>
      </c>
      <c r="O247" s="4" t="s">
        <v>181</v>
      </c>
      <c r="P247" s="6">
        <v>46270</v>
      </c>
      <c r="Q247" s="6">
        <v>46270</v>
      </c>
      <c r="R247" s="5">
        <v>1</v>
      </c>
      <c r="S247" s="5" t="s">
        <v>182</v>
      </c>
      <c r="T247" s="13">
        <v>46295</v>
      </c>
      <c r="U247" s="13">
        <v>46295</v>
      </c>
      <c r="V247" s="5">
        <v>0</v>
      </c>
      <c r="W247" s="22">
        <f>_xlfn.LET(
_xlpm.H,Table1[[#This Row],[Thời hạn mới nhất (Date)]],
_xlpm.S,Table1[[#This Row],[Snapshot]],
IF(
    ISNUMBER(_xlpm.H),
    INT(_xlpm.H)-INT(_xlpm.S),
    "Không giao thời hạn"
))</f>
        <v>13</v>
      </c>
      <c r="X247" s="4" t="s">
        <v>962</v>
      </c>
      <c r="Y247" s="5"/>
      <c r="Z247" s="5" t="s">
        <v>35</v>
      </c>
      <c r="AA247" s="5"/>
      <c r="AB247" s="4"/>
      <c r="AC247" s="6"/>
      <c r="AD247" s="6"/>
      <c r="AE247" s="4">
        <v>0</v>
      </c>
      <c r="AF247" s="26" t="str">
        <f>_xlfn.LET(
_xlpm.H,Table1[[#This Row],[Thời hạn mới nhất (Date)]],
_xlpm.D,Table1[[#This Row],[Dự kiến mới nhất (Date)]],
IF(
NOT(ISNUMBER(_xlpm.H)),"Không giao thời hạn",
IF(
NOT(ISNUMBER(_xlpm.D)),"Chưa có dự kiến",
_xlpm.D-_xlpm.H
)))</f>
        <v>Chưa có dự kiến</v>
      </c>
    </row>
    <row r="248" spans="1:32" ht="276.89999999999998" x14ac:dyDescent="0.4">
      <c r="A248" s="44">
        <v>46275</v>
      </c>
      <c r="B248" s="4" t="s">
        <v>645</v>
      </c>
      <c r="C248" s="5" t="s">
        <v>607</v>
      </c>
      <c r="D248" s="5">
        <v>24</v>
      </c>
      <c r="E248" s="5" t="str">
        <f>_xlfn.TEXTJOIN("+",TRUE,Table1[[#This Row],[Snapshot]:[ID]])</f>
        <v>46275+DIR-847BDE904E35</v>
      </c>
      <c r="F248" s="5"/>
      <c r="G248" s="5" t="s">
        <v>1312</v>
      </c>
      <c r="H248" s="20" t="s">
        <v>1312</v>
      </c>
      <c r="I248" s="5" t="s">
        <v>101</v>
      </c>
      <c r="J248" s="4" t="s">
        <v>30</v>
      </c>
      <c r="K248" s="4" t="str" cm="1">
        <f t="array" ref="K24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248" s="4" t="s">
        <v>607</v>
      </c>
      <c r="M248" s="4" t="s">
        <v>180</v>
      </c>
      <c r="N248" s="4" t="s">
        <v>1700</v>
      </c>
      <c r="O248" s="4" t="s">
        <v>181</v>
      </c>
      <c r="P248" s="6">
        <v>46270</v>
      </c>
      <c r="Q248" s="6">
        <v>46270</v>
      </c>
      <c r="R248" s="5">
        <v>1</v>
      </c>
      <c r="S248" s="5" t="s">
        <v>182</v>
      </c>
      <c r="T248" s="13">
        <v>46295</v>
      </c>
      <c r="U248" s="13">
        <v>46295</v>
      </c>
      <c r="V248" s="5">
        <v>0</v>
      </c>
      <c r="W248" s="22">
        <f>_xlfn.LET(
_xlpm.H,Table1[[#This Row],[Thời hạn mới nhất (Date)]],
_xlpm.S,Table1[[#This Row],[Snapshot]],
IF(
    ISNUMBER(_xlpm.H),
    INT(_xlpm.H)-INT(_xlpm.S),
    "Không giao thời hạn"
))</f>
        <v>20</v>
      </c>
      <c r="X248" s="4" t="s">
        <v>646</v>
      </c>
      <c r="Y248" s="5"/>
      <c r="Z248" s="5" t="s">
        <v>35</v>
      </c>
      <c r="AA248" s="5"/>
      <c r="AB248" s="4"/>
      <c r="AC248" s="6"/>
      <c r="AD248" s="6"/>
      <c r="AE248" s="4">
        <v>0</v>
      </c>
      <c r="AF248" s="26" t="str">
        <f>_xlfn.LET(
_xlpm.H,Table1[[#This Row],[Thời hạn mới nhất (Date)]],
_xlpm.D,Table1[[#This Row],[Dự kiến mới nhất (Date)]],
IF(
NOT(ISNUMBER(_xlpm.H)),"Không giao thời hạn",
IF(
NOT(ISNUMBER(_xlpm.D)),"Chưa có dự kiến",
_xlpm.D-_xlpm.H
)))</f>
        <v>Chưa có dự kiến</v>
      </c>
    </row>
    <row r="249" spans="1:32" ht="145.75" x14ac:dyDescent="0.4">
      <c r="A249" s="44">
        <v>46282</v>
      </c>
      <c r="B249" s="4" t="s">
        <v>594</v>
      </c>
      <c r="C249" s="5" t="s">
        <v>570</v>
      </c>
      <c r="D249" s="5">
        <v>21</v>
      </c>
      <c r="E249" s="5" t="str">
        <f>_xlfn.TEXTJOIN("+",TRUE,Table1[[#This Row],[Snapshot]:[ID]])</f>
        <v>46282+DIR-8BB9965CBD56</v>
      </c>
      <c r="F249" s="5"/>
      <c r="G249" s="5" t="s">
        <v>1489</v>
      </c>
      <c r="H249" s="20" t="s">
        <v>1490</v>
      </c>
      <c r="I249" s="5" t="s">
        <v>89</v>
      </c>
      <c r="J249" s="4" t="s">
        <v>30</v>
      </c>
      <c r="K249" s="4" t="str" cm="1">
        <f t="array" ref="K24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08. Xử lý Nợ, VAMC và Thu hồi Tài sản</v>
      </c>
      <c r="L249" s="4" t="s">
        <v>570</v>
      </c>
      <c r="M249" s="4" t="s">
        <v>595</v>
      </c>
      <c r="N249" s="4" t="s">
        <v>1697</v>
      </c>
      <c r="O249" s="4" t="s">
        <v>181</v>
      </c>
      <c r="P249" s="6">
        <v>46270</v>
      </c>
      <c r="Q249" s="6">
        <v>46270</v>
      </c>
      <c r="R249" s="5">
        <v>1</v>
      </c>
      <c r="S249" s="5" t="s">
        <v>294</v>
      </c>
      <c r="T249" s="13">
        <v>46276</v>
      </c>
      <c r="U249" s="13">
        <v>46276</v>
      </c>
      <c r="V249" s="5">
        <v>0</v>
      </c>
      <c r="W249" s="22">
        <f>_xlfn.LET(
_xlpm.H,Table1[[#This Row],[Thời hạn mới nhất (Date)]],
_xlpm.S,Table1[[#This Row],[Snapshot]],
IF(
    ISNUMBER(_xlpm.H),
    INT(_xlpm.H)-INT(_xlpm.S),
    "Không giao thời hạn"
))</f>
        <v>-6</v>
      </c>
      <c r="X249" s="4" t="s">
        <v>958</v>
      </c>
      <c r="Y249" s="5"/>
      <c r="Z249" s="5" t="s">
        <v>35</v>
      </c>
      <c r="AA249" s="5"/>
      <c r="AB249" s="4"/>
      <c r="AC249" s="6"/>
      <c r="AD249" s="6"/>
      <c r="AE249" s="4">
        <v>0</v>
      </c>
      <c r="AF249" s="26" t="str">
        <f>_xlfn.LET(
_xlpm.H,Table1[[#This Row],[Thời hạn mới nhất (Date)]],
_xlpm.D,Table1[[#This Row],[Dự kiến mới nhất (Date)]],
IF(
NOT(ISNUMBER(_xlpm.H)),"Không giao thời hạn",
IF(
NOT(ISNUMBER(_xlpm.D)),"Chưa có dự kiến",
_xlpm.D-_xlpm.H
)))</f>
        <v>Chưa có dự kiến</v>
      </c>
    </row>
    <row r="250" spans="1:32" ht="131.15" x14ac:dyDescent="0.4">
      <c r="A250" s="44">
        <v>46275</v>
      </c>
      <c r="B250" s="4" t="s">
        <v>594</v>
      </c>
      <c r="C250" s="5" t="s">
        <v>570</v>
      </c>
      <c r="D250" s="5">
        <v>21</v>
      </c>
      <c r="E250" s="5" t="str">
        <f>_xlfn.TEXTJOIN("+",TRUE,Table1[[#This Row],[Snapshot]:[ID]])</f>
        <v>46275+DIR-8BB9965CBD56</v>
      </c>
      <c r="F250" s="5"/>
      <c r="G250" s="20" t="s">
        <v>1336</v>
      </c>
      <c r="H250" s="20" t="s">
        <v>1337</v>
      </c>
      <c r="I250" s="5" t="s">
        <v>89</v>
      </c>
      <c r="J250" s="4" t="s">
        <v>30</v>
      </c>
      <c r="K250" s="4" t="str" cm="1">
        <f t="array" ref="K25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08. Xử lý Nợ, VAMC và Thu hồi Tài sản</v>
      </c>
      <c r="L250" s="4" t="s">
        <v>570</v>
      </c>
      <c r="M250" s="4" t="s">
        <v>595</v>
      </c>
      <c r="N250" s="4" t="s">
        <v>1697</v>
      </c>
      <c r="O250" s="4" t="s">
        <v>181</v>
      </c>
      <c r="P250" s="6">
        <v>46270</v>
      </c>
      <c r="Q250" s="6">
        <v>46270</v>
      </c>
      <c r="R250" s="5">
        <v>1</v>
      </c>
      <c r="S250" s="5" t="s">
        <v>294</v>
      </c>
      <c r="T250" s="13">
        <v>46276</v>
      </c>
      <c r="U250" s="13">
        <v>46276</v>
      </c>
      <c r="V250" s="5">
        <v>0</v>
      </c>
      <c r="W250" s="22">
        <f>_xlfn.LET(
_xlpm.H,Table1[[#This Row],[Thời hạn mới nhất (Date)]],
_xlpm.S,Table1[[#This Row],[Snapshot]],
IF(
    ISNUMBER(_xlpm.H),
    INT(_xlpm.H)-INT(_xlpm.S),
    "Không giao thời hạn"
))</f>
        <v>1</v>
      </c>
      <c r="X250" s="4" t="s">
        <v>596</v>
      </c>
      <c r="Y250" s="5"/>
      <c r="Z250" s="5" t="s">
        <v>35</v>
      </c>
      <c r="AA250" s="5"/>
      <c r="AB250" s="4"/>
      <c r="AC250" s="6"/>
      <c r="AD250" s="6"/>
      <c r="AE250" s="4">
        <v>0</v>
      </c>
      <c r="AF250" s="26" t="str">
        <f>_xlfn.LET(
_xlpm.H,Table1[[#This Row],[Thời hạn mới nhất (Date)]],
_xlpm.D,Table1[[#This Row],[Dự kiến mới nhất (Date)]],
IF(
NOT(ISNUMBER(_xlpm.H)),"Không giao thời hạn",
IF(
NOT(ISNUMBER(_xlpm.D)),"Chưa có dự kiến",
_xlpm.D-_xlpm.H
)))</f>
        <v>Chưa có dự kiến</v>
      </c>
    </row>
    <row r="251" spans="1:32" ht="189.45" x14ac:dyDescent="0.4">
      <c r="A251" s="44">
        <v>46282</v>
      </c>
      <c r="B251" s="4" t="s">
        <v>375</v>
      </c>
      <c r="C251" s="5" t="s">
        <v>352</v>
      </c>
      <c r="D251" s="5">
        <v>18</v>
      </c>
      <c r="E251" s="5" t="str">
        <f>_xlfn.TEXTJOIN("+",TRUE,Table1[[#This Row],[Snapshot]:[ID]])</f>
        <v>46282+DIR-8BDD440C03E8</v>
      </c>
      <c r="F251" s="5"/>
      <c r="G251" s="5" t="s">
        <v>1925</v>
      </c>
      <c r="H251" s="20" t="s">
        <v>1926</v>
      </c>
      <c r="I251" s="5" t="s">
        <v>75</v>
      </c>
      <c r="J251" s="4" t="s">
        <v>30</v>
      </c>
      <c r="K251" s="4" t="str" cm="1">
        <f t="array" ref="K25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51" s="4" t="s">
        <v>352</v>
      </c>
      <c r="M251" s="4" t="s">
        <v>331</v>
      </c>
      <c r="N251" s="4" t="s">
        <v>1702</v>
      </c>
      <c r="O251" s="4" t="s">
        <v>275</v>
      </c>
      <c r="P251" s="6">
        <v>46256</v>
      </c>
      <c r="Q251" s="6">
        <v>46256</v>
      </c>
      <c r="R251" s="5">
        <v>1</v>
      </c>
      <c r="S251" s="5" t="s">
        <v>332</v>
      </c>
      <c r="T251" s="13">
        <v>46266</v>
      </c>
      <c r="U251" s="13">
        <v>46266</v>
      </c>
      <c r="V251" s="5">
        <v>0</v>
      </c>
      <c r="W251" s="22">
        <f>_xlfn.LET(
_xlpm.H,Table1[[#This Row],[Thời hạn mới nhất (Date)]],
_xlpm.S,Table1[[#This Row],[Snapshot]],
IF(
    ISNUMBER(_xlpm.H),
    INT(_xlpm.H)-INT(_xlpm.S),
    "Không giao thời hạn"
))</f>
        <v>-16</v>
      </c>
      <c r="X251" s="4" t="s">
        <v>376</v>
      </c>
      <c r="Y251" s="5"/>
      <c r="Z251" s="5" t="s">
        <v>35</v>
      </c>
      <c r="AA251" s="5"/>
      <c r="AB251" s="4"/>
      <c r="AC251" s="6"/>
      <c r="AD251" s="6"/>
      <c r="AE251" s="4">
        <v>0</v>
      </c>
      <c r="AF251" s="26" t="str">
        <f>_xlfn.LET(
_xlpm.H,Table1[[#This Row],[Thời hạn mới nhất (Date)]],
_xlpm.D,Table1[[#This Row],[Dự kiến mới nhất (Date)]],
IF(
NOT(ISNUMBER(_xlpm.H)),"Không giao thời hạn",
IF(
NOT(ISNUMBER(_xlpm.D)),"Chưa có dự kiến",
_xlpm.D-_xlpm.H
)))</f>
        <v>Chưa có dự kiến</v>
      </c>
    </row>
    <row r="252" spans="1:32" ht="189.45" x14ac:dyDescent="0.4">
      <c r="A252" s="44">
        <v>46275</v>
      </c>
      <c r="B252" s="4" t="s">
        <v>375</v>
      </c>
      <c r="C252" s="5" t="s">
        <v>352</v>
      </c>
      <c r="D252" s="5">
        <v>19</v>
      </c>
      <c r="E252" s="5" t="str">
        <f>_xlfn.TEXTJOIN("+",TRUE,Table1[[#This Row],[Snapshot]:[ID]])</f>
        <v>46275+DIR-8BDD440C03E8</v>
      </c>
      <c r="F252" s="5"/>
      <c r="G252" s="5" t="s">
        <v>1927</v>
      </c>
      <c r="H252" s="20" t="s">
        <v>1928</v>
      </c>
      <c r="I252" s="5" t="s">
        <v>80</v>
      </c>
      <c r="J252" s="4" t="s">
        <v>30</v>
      </c>
      <c r="K252" s="4" t="str" cm="1">
        <f t="array" ref="K25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52" s="4" t="s">
        <v>352</v>
      </c>
      <c r="M252" s="4" t="s">
        <v>331</v>
      </c>
      <c r="N252" s="4" t="s">
        <v>1702</v>
      </c>
      <c r="O252" s="4" t="s">
        <v>275</v>
      </c>
      <c r="P252" s="6">
        <v>46256</v>
      </c>
      <c r="Q252" s="6">
        <v>46256</v>
      </c>
      <c r="R252" s="5">
        <v>1</v>
      </c>
      <c r="S252" s="5" t="s">
        <v>332</v>
      </c>
      <c r="T252" s="13">
        <v>46266</v>
      </c>
      <c r="U252" s="13">
        <v>46266</v>
      </c>
      <c r="V252" s="5">
        <v>0</v>
      </c>
      <c r="W252" s="22">
        <f>_xlfn.LET(
_xlpm.H,Table1[[#This Row],[Thời hạn mới nhất (Date)]],
_xlpm.S,Table1[[#This Row],[Snapshot]],
IF(
    ISNUMBER(_xlpm.H),
    INT(_xlpm.H)-INT(_xlpm.S),
    "Không giao thời hạn"
))</f>
        <v>-9</v>
      </c>
      <c r="X252" s="4" t="s">
        <v>376</v>
      </c>
      <c r="Y252" s="5"/>
      <c r="Z252" s="5" t="s">
        <v>35</v>
      </c>
      <c r="AA252" s="5"/>
      <c r="AB252" s="4"/>
      <c r="AC252" s="6"/>
      <c r="AD252" s="6"/>
      <c r="AE252" s="4">
        <v>0</v>
      </c>
      <c r="AF252" s="26" t="str">
        <f>_xlfn.LET(
_xlpm.H,Table1[[#This Row],[Thời hạn mới nhất (Date)]],
_xlpm.D,Table1[[#This Row],[Dự kiến mới nhất (Date)]],
IF(
NOT(ISNUMBER(_xlpm.H)),"Không giao thời hạn",
IF(
NOT(ISNUMBER(_xlpm.D)),"Chưa có dự kiến",
_xlpm.D-_xlpm.H
)))</f>
        <v>Chưa có dự kiến</v>
      </c>
    </row>
    <row r="253" spans="1:32" ht="409.6" x14ac:dyDescent="0.4">
      <c r="A253" s="44">
        <v>46282</v>
      </c>
      <c r="B253" s="4" t="s">
        <v>124</v>
      </c>
      <c r="C253" s="5" t="s">
        <v>44</v>
      </c>
      <c r="D253" s="5">
        <v>33</v>
      </c>
      <c r="E253" s="5" t="str">
        <f>_xlfn.TEXTJOIN("+",TRUE,Table1[[#This Row],[Snapshot]:[ID]])</f>
        <v>46282+DIR-8BEBB9A725F2</v>
      </c>
      <c r="F253" s="5"/>
      <c r="G253" s="5" t="s">
        <v>1299</v>
      </c>
      <c r="H253" s="20" t="s">
        <v>1299</v>
      </c>
      <c r="I253" s="5" t="s">
        <v>147</v>
      </c>
      <c r="J253" s="4" t="s">
        <v>30</v>
      </c>
      <c r="K253" s="4" t="str" cm="1">
        <f t="array" ref="K25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35. Năng suất Làm việc và Công cụ Cộng tác Nội bộ</v>
      </c>
      <c r="L253" s="4" t="s">
        <v>44</v>
      </c>
      <c r="M253" s="4" t="s">
        <v>126</v>
      </c>
      <c r="N253" s="4" t="s">
        <v>1698</v>
      </c>
      <c r="O253" s="4" t="s">
        <v>127</v>
      </c>
      <c r="P253" s="6">
        <v>46160</v>
      </c>
      <c r="Q253" s="6">
        <v>46160</v>
      </c>
      <c r="R253" s="5">
        <v>1</v>
      </c>
      <c r="S253" s="5"/>
      <c r="T253" s="13"/>
      <c r="U253" s="13"/>
      <c r="V253" s="5">
        <v>0</v>
      </c>
      <c r="W253" s="22" t="str">
        <f>_xlfn.LET(
_xlpm.H,Table1[[#This Row],[Thời hạn mới nhất (Date)]],
_xlpm.S,Table1[[#This Row],[Snapshot]],
IF(
    ISNUMBER(_xlpm.H),
    INT(_xlpm.H)-INT(_xlpm.S),
    "Không giao thời hạn"
))</f>
        <v>Không giao thời hạn</v>
      </c>
      <c r="X253" s="4" t="s">
        <v>914</v>
      </c>
      <c r="Y253" s="5"/>
      <c r="Z253" s="5" t="s">
        <v>35</v>
      </c>
      <c r="AA253" s="5"/>
      <c r="AB253" s="4" t="s">
        <v>50</v>
      </c>
      <c r="AC253" s="6"/>
      <c r="AD253" s="6"/>
      <c r="AE253" s="4">
        <v>0</v>
      </c>
      <c r="AF253" s="26" t="str">
        <f>_xlfn.LET(
_xlpm.H,Table1[[#This Row],[Thời hạn mới nhất (Date)]],
_xlpm.D,Table1[[#This Row],[Dự kiến mới nhất (Date)]],
IF(
NOT(ISNUMBER(_xlpm.H)),"Không giao thời hạn",
IF(
NOT(ISNUMBER(_xlpm.D)),"Chưa có dự kiến",
_xlpm.D-_xlpm.H
)))</f>
        <v>Không giao thời hạn</v>
      </c>
    </row>
    <row r="254" spans="1:32" ht="364.3" x14ac:dyDescent="0.4">
      <c r="A254" s="44">
        <v>46275</v>
      </c>
      <c r="B254" s="4" t="s">
        <v>124</v>
      </c>
      <c r="C254" s="5" t="s">
        <v>44</v>
      </c>
      <c r="D254" s="5">
        <v>29</v>
      </c>
      <c r="E254" s="5" t="str">
        <f>_xlfn.TEXTJOIN("+",TRUE,Table1[[#This Row],[Snapshot]:[ID]])</f>
        <v>46275+DIR-8BEBB9A725F2</v>
      </c>
      <c r="F254" s="5"/>
      <c r="G254" s="5" t="s">
        <v>1299</v>
      </c>
      <c r="H254" s="20" t="s">
        <v>1299</v>
      </c>
      <c r="I254" s="5" t="s">
        <v>125</v>
      </c>
      <c r="J254" s="4" t="s">
        <v>30</v>
      </c>
      <c r="K254" s="4" t="str" cm="1">
        <f t="array" ref="K25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35. Năng suất Làm việc và Công cụ Cộng tác Nội bộ</v>
      </c>
      <c r="L254" s="4" t="s">
        <v>44</v>
      </c>
      <c r="M254" s="4" t="s">
        <v>126</v>
      </c>
      <c r="N254" s="4" t="s">
        <v>1698</v>
      </c>
      <c r="O254" s="4" t="s">
        <v>127</v>
      </c>
      <c r="P254" s="6">
        <v>46160</v>
      </c>
      <c r="Q254" s="6">
        <v>46160</v>
      </c>
      <c r="R254" s="5">
        <v>1</v>
      </c>
      <c r="S254" s="5"/>
      <c r="T254" s="13"/>
      <c r="U254" s="13"/>
      <c r="V254" s="5">
        <v>0</v>
      </c>
      <c r="W254" s="22" t="str">
        <f>_xlfn.LET(
_xlpm.H,Table1[[#This Row],[Thời hạn mới nhất (Date)]],
_xlpm.S,Table1[[#This Row],[Snapshot]],
IF(
    ISNUMBER(_xlpm.H),
    INT(_xlpm.H)-INT(_xlpm.S),
    "Không giao thời hạn"
))</f>
        <v>Không giao thời hạn</v>
      </c>
      <c r="X254" s="4" t="s">
        <v>128</v>
      </c>
      <c r="Y254" s="5"/>
      <c r="Z254" s="5" t="s">
        <v>35</v>
      </c>
      <c r="AA254" s="5"/>
      <c r="AB254" s="4" t="s">
        <v>50</v>
      </c>
      <c r="AC254" s="6"/>
      <c r="AD254" s="6"/>
      <c r="AE254" s="4">
        <v>0</v>
      </c>
      <c r="AF254" s="26" t="str">
        <f>_xlfn.LET(
_xlpm.H,Table1[[#This Row],[Thời hạn mới nhất (Date)]],
_xlpm.D,Table1[[#This Row],[Dự kiến mới nhất (Date)]],
IF(
NOT(ISNUMBER(_xlpm.H)),"Không giao thời hạn",
IF(
NOT(ISNUMBER(_xlpm.D)),"Chưa có dự kiến",
_xlpm.D-_xlpm.H
)))</f>
        <v>Không giao thời hạn</v>
      </c>
    </row>
    <row r="255" spans="1:32" ht="145.75" x14ac:dyDescent="0.4">
      <c r="A255" s="44">
        <v>46282</v>
      </c>
      <c r="B255" s="4" t="s">
        <v>96</v>
      </c>
      <c r="C255" s="5" t="s">
        <v>44</v>
      </c>
      <c r="D255" s="5">
        <v>23</v>
      </c>
      <c r="E255" s="5" t="str">
        <f>_xlfn.TEXTJOIN("+",TRUE,Table1[[#This Row],[Snapshot]:[ID]])</f>
        <v>46282+DIR-8D3140BD48EF</v>
      </c>
      <c r="F255" s="5"/>
      <c r="G255" s="5" t="s">
        <v>1929</v>
      </c>
      <c r="H255" s="20" t="s">
        <v>1930</v>
      </c>
      <c r="I255" s="5" t="s">
        <v>97</v>
      </c>
      <c r="J255" s="4" t="s">
        <v>30</v>
      </c>
      <c r="K255" s="4" t="str" cm="1">
        <f t="array" ref="K25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255" s="4" t="s">
        <v>44</v>
      </c>
      <c r="M255" s="4" t="s">
        <v>98</v>
      </c>
      <c r="N255" s="4" t="s">
        <v>1703</v>
      </c>
      <c r="O255" s="4" t="s">
        <v>71</v>
      </c>
      <c r="P255" s="6">
        <v>46235</v>
      </c>
      <c r="Q255" s="6">
        <v>46235</v>
      </c>
      <c r="R255" s="5">
        <v>1</v>
      </c>
      <c r="S255" s="5" t="s">
        <v>77</v>
      </c>
      <c r="T255" s="13">
        <v>46295</v>
      </c>
      <c r="U255" s="13">
        <v>46295</v>
      </c>
      <c r="V255" s="5">
        <v>0</v>
      </c>
      <c r="W255" s="22">
        <f>_xlfn.LET(
_xlpm.H,Table1[[#This Row],[Thời hạn mới nhất (Date)]],
_xlpm.S,Table1[[#This Row],[Snapshot]],
IF(
    ISNUMBER(_xlpm.H),
    INT(_xlpm.H)-INT(_xlpm.S),
    "Không giao thời hạn"
))</f>
        <v>13</v>
      </c>
      <c r="X255" s="4" t="s">
        <v>99</v>
      </c>
      <c r="Y255" s="5"/>
      <c r="Z255" s="5" t="s">
        <v>35</v>
      </c>
      <c r="AA255" s="5"/>
      <c r="AB255" s="4"/>
      <c r="AC255" s="6"/>
      <c r="AD255" s="6"/>
      <c r="AE255" s="4">
        <v>0</v>
      </c>
      <c r="AF255" s="26" t="str">
        <f>_xlfn.LET(
_xlpm.H,Table1[[#This Row],[Thời hạn mới nhất (Date)]],
_xlpm.D,Table1[[#This Row],[Dự kiến mới nhất (Date)]],
IF(
NOT(ISNUMBER(_xlpm.H)),"Không giao thời hạn",
IF(
NOT(ISNUMBER(_xlpm.D)),"Chưa có dự kiến",
_xlpm.D-_xlpm.H
)))</f>
        <v>Chưa có dự kiến</v>
      </c>
    </row>
    <row r="256" spans="1:32" ht="189.45" x14ac:dyDescent="0.4">
      <c r="A256" s="44">
        <v>46275</v>
      </c>
      <c r="B256" s="4" t="s">
        <v>96</v>
      </c>
      <c r="C256" s="5" t="s">
        <v>44</v>
      </c>
      <c r="D256" s="5">
        <v>23</v>
      </c>
      <c r="E256" s="5" t="str">
        <f>_xlfn.TEXTJOIN("+",TRUE,Table1[[#This Row],[Snapshot]:[ID]])</f>
        <v>46275+DIR-8D3140BD48EF</v>
      </c>
      <c r="F256" s="5"/>
      <c r="G256" s="5" t="s">
        <v>1931</v>
      </c>
      <c r="H256" s="20" t="s">
        <v>1932</v>
      </c>
      <c r="I256" s="5" t="s">
        <v>97</v>
      </c>
      <c r="J256" s="4" t="s">
        <v>30</v>
      </c>
      <c r="K256" s="4" t="str" cm="1">
        <f t="array" ref="K25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256" s="4" t="s">
        <v>44</v>
      </c>
      <c r="M256" s="4" t="s">
        <v>98</v>
      </c>
      <c r="N256" s="4" t="s">
        <v>1703</v>
      </c>
      <c r="O256" s="4" t="s">
        <v>71</v>
      </c>
      <c r="P256" s="6">
        <v>46235</v>
      </c>
      <c r="Q256" s="6">
        <v>46235</v>
      </c>
      <c r="R256" s="5">
        <v>1</v>
      </c>
      <c r="S256" s="5" t="s">
        <v>77</v>
      </c>
      <c r="T256" s="13">
        <v>46295</v>
      </c>
      <c r="U256" s="13">
        <v>46295</v>
      </c>
      <c r="V256" s="5">
        <v>0</v>
      </c>
      <c r="W256" s="22">
        <f>_xlfn.LET(
_xlpm.H,Table1[[#This Row],[Thời hạn mới nhất (Date)]],
_xlpm.S,Table1[[#This Row],[Snapshot]],
IF(
    ISNUMBER(_xlpm.H),
    INT(_xlpm.H)-INT(_xlpm.S),
    "Không giao thời hạn"
))</f>
        <v>20</v>
      </c>
      <c r="X256" s="4" t="s">
        <v>99</v>
      </c>
      <c r="Y256" s="5"/>
      <c r="Z256" s="5" t="s">
        <v>35</v>
      </c>
      <c r="AA256" s="5"/>
      <c r="AB256" s="4"/>
      <c r="AC256" s="6"/>
      <c r="AD256" s="6"/>
      <c r="AE256" s="4">
        <v>0</v>
      </c>
      <c r="AF256" s="26" t="str">
        <f>_xlfn.LET(
_xlpm.H,Table1[[#This Row],[Thời hạn mới nhất (Date)]],
_xlpm.D,Table1[[#This Row],[Dự kiến mới nhất (Date)]],
IF(
NOT(ISNUMBER(_xlpm.H)),"Không giao thời hạn",
IF(
NOT(ISNUMBER(_xlpm.D)),"Chưa có dự kiến",
_xlpm.D-_xlpm.H
)))</f>
        <v>Chưa có dự kiến</v>
      </c>
    </row>
    <row r="257" spans="1:32" ht="174.9" x14ac:dyDescent="0.4">
      <c r="A257" s="44">
        <v>46282</v>
      </c>
      <c r="B257" s="4" t="s">
        <v>343</v>
      </c>
      <c r="C257" s="5" t="s">
        <v>297</v>
      </c>
      <c r="D257" s="5">
        <v>28</v>
      </c>
      <c r="E257" s="5" t="str">
        <f>_xlfn.TEXTJOIN("+",TRUE,Table1[[#This Row],[Snapshot]:[ID]])</f>
        <v>46282+DIR-8EF1BB259D63</v>
      </c>
      <c r="F257" s="5"/>
      <c r="G257" s="20" t="s">
        <v>1234</v>
      </c>
      <c r="H257" s="20" t="s">
        <v>1235</v>
      </c>
      <c r="I257" s="5" t="s">
        <v>52</v>
      </c>
      <c r="J257" s="4" t="s">
        <v>200</v>
      </c>
      <c r="K257" s="4" t="str" cm="1">
        <f t="array" ref="K25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57" s="4" t="s">
        <v>297</v>
      </c>
      <c r="M257" s="4" t="s">
        <v>344</v>
      </c>
      <c r="N257" s="4" t="s">
        <v>1701</v>
      </c>
      <c r="O257" s="4" t="s">
        <v>345</v>
      </c>
      <c r="P257" s="6">
        <v>46060</v>
      </c>
      <c r="Q257" s="6">
        <v>46104</v>
      </c>
      <c r="R257" s="5">
        <v>2</v>
      </c>
      <c r="S257" s="5"/>
      <c r="T257" s="13"/>
      <c r="U257" s="13"/>
      <c r="V257" s="5">
        <v>0</v>
      </c>
      <c r="W257" s="22" t="str">
        <f>_xlfn.LET(
_xlpm.H,Table1[[#This Row],[Thời hạn mới nhất (Date)]],
_xlpm.S,Table1[[#This Row],[Snapshot]],
IF(
    ISNUMBER(_xlpm.H),
    INT(_xlpm.H)-INT(_xlpm.S),
    "Không giao thời hạn"
))</f>
        <v>Không giao thời hạn</v>
      </c>
      <c r="X257" s="4" t="s">
        <v>346</v>
      </c>
      <c r="Y257" s="5"/>
      <c r="Z257" s="5" t="s">
        <v>35</v>
      </c>
      <c r="AA257" s="5"/>
      <c r="AB257" s="4" t="s">
        <v>301</v>
      </c>
      <c r="AC257" s="6">
        <v>46295</v>
      </c>
      <c r="AD257" s="6">
        <v>46295</v>
      </c>
      <c r="AE257" s="4">
        <v>0</v>
      </c>
      <c r="AF257" s="26" t="str">
        <f>_xlfn.LET(
_xlpm.H,Table1[[#This Row],[Thời hạn mới nhất (Date)]],
_xlpm.D,Table1[[#This Row],[Dự kiến mới nhất (Date)]],
IF(
NOT(ISNUMBER(_xlpm.H)),"Không giao thời hạn",
IF(
NOT(ISNUMBER(_xlpm.D)),"Chưa có dự kiến",
_xlpm.D-_xlpm.H
)))</f>
        <v>Không giao thời hạn</v>
      </c>
    </row>
    <row r="258" spans="1:32" ht="174.9" x14ac:dyDescent="0.4">
      <c r="A258" s="44">
        <v>46275</v>
      </c>
      <c r="B258" s="4" t="s">
        <v>343</v>
      </c>
      <c r="C258" s="5" t="s">
        <v>297</v>
      </c>
      <c r="D258" s="5">
        <v>26</v>
      </c>
      <c r="E258" s="5" t="str">
        <f>_xlfn.TEXTJOIN("+",TRUE,Table1[[#This Row],[Snapshot]:[ID]])</f>
        <v>46275+DIR-8EF1BB259D63</v>
      </c>
      <c r="F258" s="5"/>
      <c r="G258" s="20" t="s">
        <v>1234</v>
      </c>
      <c r="H258" s="20" t="s">
        <v>1235</v>
      </c>
      <c r="I258" s="5" t="s">
        <v>52</v>
      </c>
      <c r="J258" s="4" t="s">
        <v>200</v>
      </c>
      <c r="K258" s="4" t="str" cm="1">
        <f t="array" ref="K25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58" s="4" t="s">
        <v>297</v>
      </c>
      <c r="M258" s="4" t="s">
        <v>344</v>
      </c>
      <c r="N258" s="4" t="s">
        <v>1701</v>
      </c>
      <c r="O258" s="4" t="s">
        <v>345</v>
      </c>
      <c r="P258" s="6">
        <v>46060</v>
      </c>
      <c r="Q258" s="6">
        <v>46104</v>
      </c>
      <c r="R258" s="5">
        <v>2</v>
      </c>
      <c r="S258" s="5"/>
      <c r="T258" s="13"/>
      <c r="U258" s="13"/>
      <c r="V258" s="5">
        <v>0</v>
      </c>
      <c r="W258" s="22" t="str">
        <f>_xlfn.LET(
_xlpm.H,Table1[[#This Row],[Thời hạn mới nhất (Date)]],
_xlpm.S,Table1[[#This Row],[Snapshot]],
IF(
    ISNUMBER(_xlpm.H),
    INT(_xlpm.H)-INT(_xlpm.S),
    "Không giao thời hạn"
))</f>
        <v>Không giao thời hạn</v>
      </c>
      <c r="X258" s="4" t="s">
        <v>346</v>
      </c>
      <c r="Y258" s="5"/>
      <c r="Z258" s="5" t="s">
        <v>35</v>
      </c>
      <c r="AA258" s="5"/>
      <c r="AB258" s="4" t="s">
        <v>301</v>
      </c>
      <c r="AC258" s="6">
        <v>46295</v>
      </c>
      <c r="AD258" s="6">
        <v>46295</v>
      </c>
      <c r="AE258" s="4">
        <v>0</v>
      </c>
      <c r="AF258" s="26" t="str">
        <f>_xlfn.LET(
_xlpm.H,Table1[[#This Row],[Thời hạn mới nhất (Date)]],
_xlpm.D,Table1[[#This Row],[Dự kiến mới nhất (Date)]],
IF(
NOT(ISNUMBER(_xlpm.H)),"Không giao thời hạn",
IF(
NOT(ISNUMBER(_xlpm.D)),"Chưa có dự kiến",
_xlpm.D-_xlpm.H
)))</f>
        <v>Không giao thời hạn</v>
      </c>
    </row>
    <row r="259" spans="1:32" ht="116.6" x14ac:dyDescent="0.4">
      <c r="A259" s="44">
        <v>46282</v>
      </c>
      <c r="B259" s="4" t="s">
        <v>184</v>
      </c>
      <c r="C259" s="5" t="s">
        <v>44</v>
      </c>
      <c r="D259" s="5">
        <v>29</v>
      </c>
      <c r="E259" s="5" t="str">
        <f>_xlfn.TEXTJOIN("+",TRUE,Table1[[#This Row],[Snapshot]:[ID]])</f>
        <v>46282+DIR-90BB49C73047</v>
      </c>
      <c r="F259" s="5"/>
      <c r="G259" s="5" t="s">
        <v>1933</v>
      </c>
      <c r="H259" s="20" t="s">
        <v>1934</v>
      </c>
      <c r="I259" s="5" t="s">
        <v>125</v>
      </c>
      <c r="J259" s="4" t="s">
        <v>30</v>
      </c>
      <c r="K259" s="4" t="str" cm="1">
        <f t="array" ref="K25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59" s="4" t="s">
        <v>44</v>
      </c>
      <c r="M259" s="4" t="s">
        <v>186</v>
      </c>
      <c r="N259" s="4" t="s">
        <v>1703</v>
      </c>
      <c r="O259" s="4" t="s">
        <v>181</v>
      </c>
      <c r="P259" s="6">
        <v>46270</v>
      </c>
      <c r="Q259" s="6">
        <v>46270</v>
      </c>
      <c r="R259" s="5">
        <v>1</v>
      </c>
      <c r="S259" s="5"/>
      <c r="T259" s="13"/>
      <c r="U259" s="13"/>
      <c r="V259" s="5">
        <v>0</v>
      </c>
      <c r="W259" s="22" t="str">
        <f>_xlfn.LET(
_xlpm.H,Table1[[#This Row],[Thời hạn mới nhất (Date)]],
_xlpm.S,Table1[[#This Row],[Snapshot]],
IF(
    ISNUMBER(_xlpm.H),
    INT(_xlpm.H)-INT(_xlpm.S),
    "Không giao thời hạn"
))</f>
        <v>Không giao thời hạn</v>
      </c>
      <c r="X259" s="4" t="s">
        <v>187</v>
      </c>
      <c r="Y259" s="5"/>
      <c r="Z259" s="5" t="s">
        <v>35</v>
      </c>
      <c r="AA259" s="5"/>
      <c r="AB259" s="4"/>
      <c r="AC259" s="6"/>
      <c r="AD259" s="6"/>
      <c r="AE259" s="4">
        <v>0</v>
      </c>
      <c r="AF259" s="26" t="str">
        <f>_xlfn.LET(
_xlpm.H,Table1[[#This Row],[Thời hạn mới nhất (Date)]],
_xlpm.D,Table1[[#This Row],[Dự kiến mới nhất (Date)]],
IF(
NOT(ISNUMBER(_xlpm.H)),"Không giao thời hạn",
IF(
NOT(ISNUMBER(_xlpm.D)),"Chưa có dự kiến",
_xlpm.D-_xlpm.H
)))</f>
        <v>Không giao thời hạn</v>
      </c>
    </row>
    <row r="260" spans="1:32" ht="145.75" x14ac:dyDescent="0.4">
      <c r="A260" s="44">
        <v>46275</v>
      </c>
      <c r="B260" s="4" t="s">
        <v>184</v>
      </c>
      <c r="C260" s="5" t="s">
        <v>44</v>
      </c>
      <c r="D260" s="5">
        <v>40</v>
      </c>
      <c r="E260" s="5" t="str">
        <f>_xlfn.TEXTJOIN("+",TRUE,Table1[[#This Row],[Snapshot]:[ID]])</f>
        <v>46275+DIR-90BB49C73047</v>
      </c>
      <c r="F260" s="5"/>
      <c r="G260" s="5" t="s">
        <v>1935</v>
      </c>
      <c r="H260" s="20" t="s">
        <v>1936</v>
      </c>
      <c r="I260" s="5" t="s">
        <v>185</v>
      </c>
      <c r="J260" s="4" t="s">
        <v>30</v>
      </c>
      <c r="K260" s="4" t="str" cm="1">
        <f t="array" ref="K26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60" s="4" t="s">
        <v>44</v>
      </c>
      <c r="M260" s="4" t="s">
        <v>186</v>
      </c>
      <c r="N260" s="4" t="s">
        <v>1703</v>
      </c>
      <c r="O260" s="4" t="s">
        <v>181</v>
      </c>
      <c r="P260" s="6">
        <v>46270</v>
      </c>
      <c r="Q260" s="6">
        <v>46270</v>
      </c>
      <c r="R260" s="5">
        <v>1</v>
      </c>
      <c r="S260" s="5"/>
      <c r="T260" s="13"/>
      <c r="U260" s="13"/>
      <c r="V260" s="5">
        <v>0</v>
      </c>
      <c r="W260" s="22" t="str">
        <f>_xlfn.LET(
_xlpm.H,Table1[[#This Row],[Thời hạn mới nhất (Date)]],
_xlpm.S,Table1[[#This Row],[Snapshot]],
IF(
    ISNUMBER(_xlpm.H),
    INT(_xlpm.H)-INT(_xlpm.S),
    "Không giao thời hạn"
))</f>
        <v>Không giao thời hạn</v>
      </c>
      <c r="X260" s="4" t="s">
        <v>187</v>
      </c>
      <c r="Y260" s="5"/>
      <c r="Z260" s="5" t="s">
        <v>35</v>
      </c>
      <c r="AA260" s="5"/>
      <c r="AB260" s="4"/>
      <c r="AC260" s="6"/>
      <c r="AD260" s="6"/>
      <c r="AE260" s="4">
        <v>0</v>
      </c>
      <c r="AF260" s="26" t="str">
        <f>_xlfn.LET(
_xlpm.H,Table1[[#This Row],[Thời hạn mới nhất (Date)]],
_xlpm.D,Table1[[#This Row],[Dự kiến mới nhất (Date)]],
IF(
NOT(ISNUMBER(_xlpm.H)),"Không giao thời hạn",
IF(
NOT(ISNUMBER(_xlpm.D)),"Chưa có dự kiến",
_xlpm.D-_xlpm.H
)))</f>
        <v>Không giao thời hạn</v>
      </c>
    </row>
    <row r="261" spans="1:32" ht="131.15" x14ac:dyDescent="0.4">
      <c r="A261" s="44">
        <v>46282</v>
      </c>
      <c r="B261" s="4" t="s">
        <v>455</v>
      </c>
      <c r="C261" s="5" t="s">
        <v>352</v>
      </c>
      <c r="D261" s="5">
        <v>40</v>
      </c>
      <c r="E261" s="5" t="str">
        <f>_xlfn.TEXTJOIN("+",TRUE,Table1[[#This Row],[Snapshot]:[ID]])</f>
        <v>46282+DIR-910CC6540D0D</v>
      </c>
      <c r="F261" s="5"/>
      <c r="G261" s="5" t="s">
        <v>1937</v>
      </c>
      <c r="H261" s="20" t="s">
        <v>1938</v>
      </c>
      <c r="I261" s="5" t="s">
        <v>75</v>
      </c>
      <c r="J261" s="4" t="s">
        <v>200</v>
      </c>
      <c r="K261" s="4" t="str" cm="1">
        <f t="array" ref="K26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261" s="4" t="s">
        <v>352</v>
      </c>
      <c r="M261" s="4" t="s">
        <v>456</v>
      </c>
      <c r="N261" s="4" t="s">
        <v>1702</v>
      </c>
      <c r="O261" s="4" t="s">
        <v>457</v>
      </c>
      <c r="P261" s="6">
        <v>45801</v>
      </c>
      <c r="Q261" s="6">
        <v>45801</v>
      </c>
      <c r="R261" s="5">
        <v>1</v>
      </c>
      <c r="S261" s="5"/>
      <c r="T261" s="13"/>
      <c r="U261" s="13"/>
      <c r="V261" s="5">
        <v>0</v>
      </c>
      <c r="W261" s="22" t="str">
        <f>_xlfn.LET(
_xlpm.H,Table1[[#This Row],[Thời hạn mới nhất (Date)]],
_xlpm.S,Table1[[#This Row],[Snapshot]],
IF(
    ISNUMBER(_xlpm.H),
    INT(_xlpm.H)-INT(_xlpm.S),
    "Không giao thời hạn"
))</f>
        <v>Không giao thời hạn</v>
      </c>
      <c r="X261" s="4" t="s">
        <v>458</v>
      </c>
      <c r="Y261" s="5"/>
      <c r="Z261" s="5" t="s">
        <v>35</v>
      </c>
      <c r="AA261" s="5"/>
      <c r="AB261" s="4"/>
      <c r="AC261" s="6"/>
      <c r="AD261" s="6"/>
      <c r="AE261" s="4">
        <v>0</v>
      </c>
      <c r="AF261" s="26" t="str">
        <f>_xlfn.LET(
_xlpm.H,Table1[[#This Row],[Thời hạn mới nhất (Date)]],
_xlpm.D,Table1[[#This Row],[Dự kiến mới nhất (Date)]],
IF(
NOT(ISNUMBER(_xlpm.H)),"Không giao thời hạn",
IF(
NOT(ISNUMBER(_xlpm.D)),"Chưa có dự kiến",
_xlpm.D-_xlpm.H
)))</f>
        <v>Không giao thời hạn</v>
      </c>
    </row>
    <row r="262" spans="1:32" ht="145.75" x14ac:dyDescent="0.4">
      <c r="A262" s="44">
        <v>46275</v>
      </c>
      <c r="B262" s="4" t="s">
        <v>455</v>
      </c>
      <c r="C262" s="5" t="s">
        <v>352</v>
      </c>
      <c r="D262" s="5">
        <v>41</v>
      </c>
      <c r="E262" s="5" t="str">
        <f>_xlfn.TEXTJOIN("+",TRUE,Table1[[#This Row],[Snapshot]:[ID]])</f>
        <v>46275+DIR-910CC6540D0D</v>
      </c>
      <c r="F262" s="5"/>
      <c r="G262" s="5" t="s">
        <v>1939</v>
      </c>
      <c r="H262" s="20" t="s">
        <v>1940</v>
      </c>
      <c r="I262" s="5" t="s">
        <v>75</v>
      </c>
      <c r="J262" s="4" t="s">
        <v>200</v>
      </c>
      <c r="K262" s="4" t="str" cm="1">
        <f t="array" ref="K26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262" s="4" t="s">
        <v>352</v>
      </c>
      <c r="M262" s="4" t="s">
        <v>456</v>
      </c>
      <c r="N262" s="4" t="s">
        <v>1702</v>
      </c>
      <c r="O262" s="4" t="s">
        <v>457</v>
      </c>
      <c r="P262" s="6">
        <v>45801</v>
      </c>
      <c r="Q262" s="6">
        <v>45801</v>
      </c>
      <c r="R262" s="5">
        <v>1</v>
      </c>
      <c r="S262" s="5"/>
      <c r="T262" s="13"/>
      <c r="U262" s="13"/>
      <c r="V262" s="5">
        <v>0</v>
      </c>
      <c r="W262" s="22" t="str">
        <f>_xlfn.LET(
_xlpm.H,Table1[[#This Row],[Thời hạn mới nhất (Date)]],
_xlpm.S,Table1[[#This Row],[Snapshot]],
IF(
    ISNUMBER(_xlpm.H),
    INT(_xlpm.H)-INT(_xlpm.S),
    "Không giao thời hạn"
))</f>
        <v>Không giao thời hạn</v>
      </c>
      <c r="X262" s="4" t="s">
        <v>458</v>
      </c>
      <c r="Y262" s="5"/>
      <c r="Z262" s="5" t="s">
        <v>35</v>
      </c>
      <c r="AA262" s="5"/>
      <c r="AB262" s="4"/>
      <c r="AC262" s="6"/>
      <c r="AD262" s="6"/>
      <c r="AE262" s="4">
        <v>0</v>
      </c>
      <c r="AF262" s="26" t="str">
        <f>_xlfn.LET(
_xlpm.H,Table1[[#This Row],[Thời hạn mới nhất (Date)]],
_xlpm.D,Table1[[#This Row],[Dự kiến mới nhất (Date)]],
IF(
NOT(ISNUMBER(_xlpm.H)),"Không giao thời hạn",
IF(
NOT(ISNUMBER(_xlpm.D)),"Chưa có dự kiến",
_xlpm.D-_xlpm.H
)))</f>
        <v>Không giao thời hạn</v>
      </c>
    </row>
    <row r="263" spans="1:32" ht="131.15" x14ac:dyDescent="0.4">
      <c r="A263" s="44">
        <v>46282</v>
      </c>
      <c r="B263" s="4" t="s">
        <v>567</v>
      </c>
      <c r="C263" s="5" t="s">
        <v>532</v>
      </c>
      <c r="D263" s="5">
        <v>21</v>
      </c>
      <c r="E263" s="5" t="str">
        <f>_xlfn.TEXTJOIN("+",TRUE,Table1[[#This Row],[Snapshot]:[ID]])</f>
        <v>46282+DIR-910D43526CE7</v>
      </c>
      <c r="F263" s="5"/>
      <c r="G263" s="5" t="s">
        <v>1372</v>
      </c>
      <c r="H263" s="20" t="s">
        <v>1373</v>
      </c>
      <c r="I263" s="5" t="s">
        <v>89</v>
      </c>
      <c r="J263" s="4" t="s">
        <v>30</v>
      </c>
      <c r="K263" s="4" t="str" cm="1">
        <f t="array" ref="K26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263" s="4" t="s">
        <v>532</v>
      </c>
      <c r="M263" s="4" t="s">
        <v>499</v>
      </c>
      <c r="N263" s="4" t="s">
        <v>1717</v>
      </c>
      <c r="O263" s="4" t="s">
        <v>191</v>
      </c>
      <c r="P263" s="6">
        <v>46262</v>
      </c>
      <c r="Q263" s="6">
        <v>46262</v>
      </c>
      <c r="R263" s="5">
        <v>1</v>
      </c>
      <c r="S263" s="5"/>
      <c r="T263" s="13"/>
      <c r="U263" s="13"/>
      <c r="V263" s="5">
        <v>0</v>
      </c>
      <c r="W263" s="22" t="str">
        <f>_xlfn.LET(
_xlpm.H,Table1[[#This Row],[Thời hạn mới nhất (Date)]],
_xlpm.S,Table1[[#This Row],[Snapshot]],
IF(
    ISNUMBER(_xlpm.H),
    INT(_xlpm.H)-INT(_xlpm.S),
    "Không giao thời hạn"
))</f>
        <v>Không giao thời hạn</v>
      </c>
      <c r="X263" s="4" t="s">
        <v>568</v>
      </c>
      <c r="Y263" s="5"/>
      <c r="Z263" s="5" t="s">
        <v>35</v>
      </c>
      <c r="AA263" s="5"/>
      <c r="AB263" s="4"/>
      <c r="AC263" s="6"/>
      <c r="AD263" s="6"/>
      <c r="AE263" s="4">
        <v>0</v>
      </c>
      <c r="AF263" s="26" t="str">
        <f>_xlfn.LET(
_xlpm.H,Table1[[#This Row],[Thời hạn mới nhất (Date)]],
_xlpm.D,Table1[[#This Row],[Dự kiến mới nhất (Date)]],
IF(
NOT(ISNUMBER(_xlpm.H)),"Không giao thời hạn",
IF(
NOT(ISNUMBER(_xlpm.D)),"Chưa có dự kiến",
_xlpm.D-_xlpm.H
)))</f>
        <v>Không giao thời hạn</v>
      </c>
    </row>
    <row r="264" spans="1:32" ht="131.15" x14ac:dyDescent="0.4">
      <c r="A264" s="44">
        <v>46275</v>
      </c>
      <c r="B264" s="4" t="s">
        <v>567</v>
      </c>
      <c r="C264" s="5" t="s">
        <v>532</v>
      </c>
      <c r="D264" s="5">
        <v>22</v>
      </c>
      <c r="E264" s="5" t="str">
        <f>_xlfn.TEXTJOIN("+",TRUE,Table1[[#This Row],[Snapshot]:[ID]])</f>
        <v>46275+DIR-910D43526CE7</v>
      </c>
      <c r="F264" s="5"/>
      <c r="G264" s="5" t="s">
        <v>1372</v>
      </c>
      <c r="H264" s="20" t="s">
        <v>1373</v>
      </c>
      <c r="I264" s="5" t="s">
        <v>93</v>
      </c>
      <c r="J264" s="4" t="s">
        <v>30</v>
      </c>
      <c r="K264" s="4" t="str" cm="1">
        <f t="array" ref="K26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264" s="4" t="s">
        <v>532</v>
      </c>
      <c r="M264" s="4" t="s">
        <v>499</v>
      </c>
      <c r="N264" s="4" t="s">
        <v>1717</v>
      </c>
      <c r="O264" s="4" t="s">
        <v>191</v>
      </c>
      <c r="P264" s="6">
        <v>46262</v>
      </c>
      <c r="Q264" s="6">
        <v>46262</v>
      </c>
      <c r="R264" s="5">
        <v>1</v>
      </c>
      <c r="S264" s="5"/>
      <c r="T264" s="13"/>
      <c r="U264" s="13"/>
      <c r="V264" s="5">
        <v>0</v>
      </c>
      <c r="W264" s="22" t="str">
        <f>_xlfn.LET(
_xlpm.H,Table1[[#This Row],[Thời hạn mới nhất (Date)]],
_xlpm.S,Table1[[#This Row],[Snapshot]],
IF(
    ISNUMBER(_xlpm.H),
    INT(_xlpm.H)-INT(_xlpm.S),
    "Không giao thời hạn"
))</f>
        <v>Không giao thời hạn</v>
      </c>
      <c r="X264" s="4" t="s">
        <v>568</v>
      </c>
      <c r="Y264" s="5"/>
      <c r="Z264" s="5" t="s">
        <v>35</v>
      </c>
      <c r="AA264" s="5"/>
      <c r="AB264" s="4"/>
      <c r="AC264" s="6"/>
      <c r="AD264" s="6"/>
      <c r="AE264" s="4">
        <v>0</v>
      </c>
      <c r="AF264" s="26" t="str">
        <f>_xlfn.LET(
_xlpm.H,Table1[[#This Row],[Thời hạn mới nhất (Date)]],
_xlpm.D,Table1[[#This Row],[Dự kiến mới nhất (Date)]],
IF(
NOT(ISNUMBER(_xlpm.H)),"Không giao thời hạn",
IF(
NOT(ISNUMBER(_xlpm.D)),"Chưa có dự kiến",
_xlpm.D-_xlpm.H
)))</f>
        <v>Không giao thời hạn</v>
      </c>
    </row>
    <row r="265" spans="1:32" ht="160.30000000000001" x14ac:dyDescent="0.4">
      <c r="A265" s="44">
        <v>46282</v>
      </c>
      <c r="B265" s="4" t="s">
        <v>88</v>
      </c>
      <c r="C265" s="5" t="s">
        <v>44</v>
      </c>
      <c r="D265" s="5">
        <v>21</v>
      </c>
      <c r="E265" s="5" t="str">
        <f>_xlfn.TEXTJOIN("+",TRUE,Table1[[#This Row],[Snapshot]:[ID]])</f>
        <v>46282+DIR-923E7CBF765A</v>
      </c>
      <c r="F265" s="5"/>
      <c r="G265" s="5" t="s">
        <v>1442</v>
      </c>
      <c r="H265" s="20" t="s">
        <v>1443</v>
      </c>
      <c r="I265" s="5" t="s">
        <v>89</v>
      </c>
      <c r="J265" s="4" t="s">
        <v>30</v>
      </c>
      <c r="K265" s="4" t="str" cm="1">
        <f t="array" ref="K26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265" s="4" t="s">
        <v>44</v>
      </c>
      <c r="M265" s="4" t="s">
        <v>90</v>
      </c>
      <c r="N265" s="4" t="s">
        <v>1703</v>
      </c>
      <c r="O265" s="4" t="s">
        <v>71</v>
      </c>
      <c r="P265" s="6">
        <v>46235</v>
      </c>
      <c r="Q265" s="6">
        <v>46235</v>
      </c>
      <c r="R265" s="5">
        <v>1</v>
      </c>
      <c r="S265" s="5" t="s">
        <v>77</v>
      </c>
      <c r="T265" s="13">
        <v>46295</v>
      </c>
      <c r="U265" s="13">
        <v>46295</v>
      </c>
      <c r="V265" s="5">
        <v>0</v>
      </c>
      <c r="W265" s="22">
        <f>_xlfn.LET(
_xlpm.H,Table1[[#This Row],[Thời hạn mới nhất (Date)]],
_xlpm.S,Table1[[#This Row],[Snapshot]],
IF(
    ISNUMBER(_xlpm.H),
    INT(_xlpm.H)-INT(_xlpm.S),
    "Không giao thời hạn"
))</f>
        <v>13</v>
      </c>
      <c r="X265" s="4" t="s">
        <v>91</v>
      </c>
      <c r="Y265" s="5"/>
      <c r="Z265" s="5" t="s">
        <v>35</v>
      </c>
      <c r="AA265" s="5"/>
      <c r="AB265" s="4"/>
      <c r="AC265" s="6"/>
      <c r="AD265" s="6"/>
      <c r="AE265" s="4">
        <v>0</v>
      </c>
      <c r="AF265" s="26" t="str">
        <f>_xlfn.LET(
_xlpm.H,Table1[[#This Row],[Thời hạn mới nhất (Date)]],
_xlpm.D,Table1[[#This Row],[Dự kiến mới nhất (Date)]],
IF(
NOT(ISNUMBER(_xlpm.H)),"Không giao thời hạn",
IF(
NOT(ISNUMBER(_xlpm.D)),"Chưa có dự kiến",
_xlpm.D-_xlpm.H
)))</f>
        <v>Chưa có dự kiến</v>
      </c>
    </row>
    <row r="266" spans="1:32" ht="102" x14ac:dyDescent="0.4">
      <c r="A266" s="44">
        <v>46275</v>
      </c>
      <c r="B266" s="4" t="s">
        <v>88</v>
      </c>
      <c r="C266" s="5" t="s">
        <v>44</v>
      </c>
      <c r="D266" s="5">
        <v>21</v>
      </c>
      <c r="E266" s="5" t="str">
        <f>_xlfn.TEXTJOIN("+",TRUE,Table1[[#This Row],[Snapshot]:[ID]])</f>
        <v>46275+DIR-923E7CBF765A</v>
      </c>
      <c r="F266" s="5"/>
      <c r="G266" s="5" t="s">
        <v>1444</v>
      </c>
      <c r="H266" s="20" t="s">
        <v>1445</v>
      </c>
      <c r="I266" s="5" t="s">
        <v>89</v>
      </c>
      <c r="J266" s="4" t="s">
        <v>30</v>
      </c>
      <c r="K266" s="4" t="str" cm="1">
        <f t="array" ref="K26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266" s="4" t="s">
        <v>44</v>
      </c>
      <c r="M266" s="4" t="s">
        <v>90</v>
      </c>
      <c r="N266" s="4" t="s">
        <v>1703</v>
      </c>
      <c r="O266" s="4" t="s">
        <v>71</v>
      </c>
      <c r="P266" s="6">
        <v>46235</v>
      </c>
      <c r="Q266" s="6">
        <v>46235</v>
      </c>
      <c r="R266" s="5">
        <v>1</v>
      </c>
      <c r="S266" s="5" t="s">
        <v>77</v>
      </c>
      <c r="T266" s="13">
        <v>46295</v>
      </c>
      <c r="U266" s="13">
        <v>46295</v>
      </c>
      <c r="V266" s="5">
        <v>0</v>
      </c>
      <c r="W266" s="22">
        <f>_xlfn.LET(
_xlpm.H,Table1[[#This Row],[Thời hạn mới nhất (Date)]],
_xlpm.S,Table1[[#This Row],[Snapshot]],
IF(
    ISNUMBER(_xlpm.H),
    INT(_xlpm.H)-INT(_xlpm.S),
    "Không giao thời hạn"
))</f>
        <v>20</v>
      </c>
      <c r="X266" s="4" t="s">
        <v>91</v>
      </c>
      <c r="Y266" s="5"/>
      <c r="Z266" s="5" t="s">
        <v>35</v>
      </c>
      <c r="AA266" s="5"/>
      <c r="AB266" s="4"/>
      <c r="AC266" s="6"/>
      <c r="AD266" s="6"/>
      <c r="AE266" s="4">
        <v>0</v>
      </c>
      <c r="AF266" s="26" t="str">
        <f>_xlfn.LET(
_xlpm.H,Table1[[#This Row],[Thời hạn mới nhất (Date)]],
_xlpm.D,Table1[[#This Row],[Dự kiến mới nhất (Date)]],
IF(
NOT(ISNUMBER(_xlpm.H)),"Không giao thời hạn",
IF(
NOT(ISNUMBER(_xlpm.D)),"Chưa có dự kiến",
_xlpm.D-_xlpm.H
)))</f>
        <v>Chưa có dự kiến</v>
      </c>
    </row>
    <row r="267" spans="1:32" ht="145.75" x14ac:dyDescent="0.4">
      <c r="A267" s="44">
        <v>46282</v>
      </c>
      <c r="B267" s="4" t="s">
        <v>582</v>
      </c>
      <c r="C267" s="5" t="s">
        <v>570</v>
      </c>
      <c r="D267" s="5">
        <v>17</v>
      </c>
      <c r="E267" s="5" t="str">
        <f>_xlfn.TEXTJOIN("+",TRUE,Table1[[#This Row],[Snapshot]:[ID]])</f>
        <v>46282+DIR-933B982BE506</v>
      </c>
      <c r="F267" s="5"/>
      <c r="G267" s="5" t="s">
        <v>1338</v>
      </c>
      <c r="H267" s="20" t="s">
        <v>1339</v>
      </c>
      <c r="I267" s="5" t="s">
        <v>69</v>
      </c>
      <c r="J267" s="4" t="s">
        <v>30</v>
      </c>
      <c r="K267" s="4" t="str" cm="1">
        <f t="array" ref="K26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267" s="4" t="s">
        <v>570</v>
      </c>
      <c r="M267" s="4" t="s">
        <v>583</v>
      </c>
      <c r="N267" s="4" t="s">
        <v>1697</v>
      </c>
      <c r="O267" s="4" t="s">
        <v>32</v>
      </c>
      <c r="P267" s="6">
        <v>46242</v>
      </c>
      <c r="Q267" s="6">
        <v>46242</v>
      </c>
      <c r="R267" s="5">
        <v>1</v>
      </c>
      <c r="S267" s="5" t="s">
        <v>584</v>
      </c>
      <c r="T267" s="13">
        <v>46295</v>
      </c>
      <c r="U267" s="13">
        <v>46295</v>
      </c>
      <c r="V267" s="5">
        <v>0</v>
      </c>
      <c r="W267" s="22">
        <f>_xlfn.LET(
_xlpm.H,Table1[[#This Row],[Thời hạn mới nhất (Date)]],
_xlpm.S,Table1[[#This Row],[Snapshot]],
IF(
    ISNUMBER(_xlpm.H),
    INT(_xlpm.H)-INT(_xlpm.S),
    "Không giao thời hạn"
))</f>
        <v>13</v>
      </c>
      <c r="X267" s="4" t="s">
        <v>955</v>
      </c>
      <c r="Y267" s="5"/>
      <c r="Z267" s="5" t="s">
        <v>35</v>
      </c>
      <c r="AA267" s="5"/>
      <c r="AB267" s="4" t="s">
        <v>584</v>
      </c>
      <c r="AC267" s="6">
        <v>46295</v>
      </c>
      <c r="AD267" s="6">
        <v>46295</v>
      </c>
      <c r="AE267" s="4">
        <v>0</v>
      </c>
      <c r="AF267" s="26">
        <f>_xlfn.LET(
_xlpm.H,Table1[[#This Row],[Thời hạn mới nhất (Date)]],
_xlpm.D,Table1[[#This Row],[Dự kiến mới nhất (Date)]],
IF(
NOT(ISNUMBER(_xlpm.H)),"Không giao thời hạn",
IF(
NOT(ISNUMBER(_xlpm.D)),"Chưa có dự kiến",
_xlpm.D-_xlpm.H
)))</f>
        <v>0</v>
      </c>
    </row>
    <row r="268" spans="1:32" ht="87.45" x14ac:dyDescent="0.4">
      <c r="A268" s="44">
        <v>46275</v>
      </c>
      <c r="B268" s="4" t="s">
        <v>582</v>
      </c>
      <c r="C268" s="5" t="s">
        <v>570</v>
      </c>
      <c r="D268" s="5">
        <v>17</v>
      </c>
      <c r="E268" s="5" t="str">
        <f>_xlfn.TEXTJOIN("+",TRUE,Table1[[#This Row],[Snapshot]:[ID]])</f>
        <v>46275+DIR-933B982BE506</v>
      </c>
      <c r="F268" s="5"/>
      <c r="G268" s="5" t="s">
        <v>1340</v>
      </c>
      <c r="H268" s="20" t="s">
        <v>1341</v>
      </c>
      <c r="I268" s="5" t="s">
        <v>69</v>
      </c>
      <c r="J268" s="4" t="s">
        <v>30</v>
      </c>
      <c r="K268" s="4" t="str" cm="1">
        <f t="array" ref="K26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268" s="4" t="s">
        <v>570</v>
      </c>
      <c r="M268" s="4" t="s">
        <v>583</v>
      </c>
      <c r="N268" s="4" t="s">
        <v>1697</v>
      </c>
      <c r="O268" s="4" t="s">
        <v>32</v>
      </c>
      <c r="P268" s="6">
        <v>46242</v>
      </c>
      <c r="Q268" s="6">
        <v>46242</v>
      </c>
      <c r="R268" s="5">
        <v>1</v>
      </c>
      <c r="S268" s="5" t="s">
        <v>584</v>
      </c>
      <c r="T268" s="13">
        <v>46295</v>
      </c>
      <c r="U268" s="13">
        <v>46295</v>
      </c>
      <c r="V268" s="5">
        <v>0</v>
      </c>
      <c r="W268" s="22">
        <f>_xlfn.LET(
_xlpm.H,Table1[[#This Row],[Thời hạn mới nhất (Date)]],
_xlpm.S,Table1[[#This Row],[Snapshot]],
IF(
    ISNUMBER(_xlpm.H),
    INT(_xlpm.H)-INT(_xlpm.S),
    "Không giao thời hạn"
))</f>
        <v>20</v>
      </c>
      <c r="X268" s="4" t="s">
        <v>585</v>
      </c>
      <c r="Y268" s="5"/>
      <c r="Z268" s="5" t="s">
        <v>35</v>
      </c>
      <c r="AA268" s="5"/>
      <c r="AB268" s="4" t="s">
        <v>584</v>
      </c>
      <c r="AC268" s="6">
        <v>46295</v>
      </c>
      <c r="AD268" s="6">
        <v>46295</v>
      </c>
      <c r="AE268" s="4">
        <v>0</v>
      </c>
      <c r="AF268" s="26">
        <f>_xlfn.LET(
_xlpm.H,Table1[[#This Row],[Thời hạn mới nhất (Date)]],
_xlpm.D,Table1[[#This Row],[Dự kiến mới nhất (Date)]],
IF(
NOT(ISNUMBER(_xlpm.H)),"Không giao thời hạn",
IF(
NOT(ISNUMBER(_xlpm.D)),"Chưa có dự kiến",
_xlpm.D-_xlpm.H
)))</f>
        <v>0</v>
      </c>
    </row>
    <row r="269" spans="1:32" ht="131.15" x14ac:dyDescent="0.4">
      <c r="A269" s="44">
        <v>46282</v>
      </c>
      <c r="B269" s="4" t="s">
        <v>320</v>
      </c>
      <c r="C269" s="5" t="s">
        <v>297</v>
      </c>
      <c r="D269" s="5">
        <v>18</v>
      </c>
      <c r="E269" s="5" t="str">
        <f>_xlfn.TEXTJOIN("+",TRUE,Table1[[#This Row],[Snapshot]:[ID]])</f>
        <v>46282+DIR-939D3D79BF21</v>
      </c>
      <c r="F269" s="5"/>
      <c r="G269" s="5" t="s">
        <v>1941</v>
      </c>
      <c r="H269" s="20" t="s">
        <v>1942</v>
      </c>
      <c r="I269" s="5" t="s">
        <v>75</v>
      </c>
      <c r="J269" s="4" t="s">
        <v>30</v>
      </c>
      <c r="K269" s="4" t="str" cm="1">
        <f t="array" ref="K26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69" s="4" t="s">
        <v>297</v>
      </c>
      <c r="M269" s="4" t="s">
        <v>321</v>
      </c>
      <c r="N269" s="4" t="s">
        <v>1701</v>
      </c>
      <c r="O269" s="4" t="s">
        <v>170</v>
      </c>
      <c r="P269" s="6">
        <v>46228</v>
      </c>
      <c r="Q269" s="6">
        <v>46228</v>
      </c>
      <c r="R269" s="5">
        <v>1</v>
      </c>
      <c r="S269" s="5" t="s">
        <v>82</v>
      </c>
      <c r="T269" s="13">
        <v>46265</v>
      </c>
      <c r="U269" s="13">
        <v>46265</v>
      </c>
      <c r="V269" s="5">
        <v>0</v>
      </c>
      <c r="W269" s="22">
        <f>_xlfn.LET(
_xlpm.H,Table1[[#This Row],[Thời hạn mới nhất (Date)]],
_xlpm.S,Table1[[#This Row],[Snapshot]],
IF(
    ISNUMBER(_xlpm.H),
    INT(_xlpm.H)-INT(_xlpm.S),
    "Không giao thời hạn"
))</f>
        <v>-17</v>
      </c>
      <c r="X269" s="4" t="s">
        <v>322</v>
      </c>
      <c r="Y269" s="5"/>
      <c r="Z269" s="5" t="s">
        <v>35</v>
      </c>
      <c r="AA269" s="5"/>
      <c r="AB269" s="4" t="s">
        <v>301</v>
      </c>
      <c r="AC269" s="6">
        <v>46295</v>
      </c>
      <c r="AD269" s="6">
        <v>46295</v>
      </c>
      <c r="AE269" s="4">
        <v>0</v>
      </c>
      <c r="AF269" s="26">
        <f>_xlfn.LET(
_xlpm.H,Table1[[#This Row],[Thời hạn mới nhất (Date)]],
_xlpm.D,Table1[[#This Row],[Dự kiến mới nhất (Date)]],
IF(
NOT(ISNUMBER(_xlpm.H)),"Không giao thời hạn",
IF(
NOT(ISNUMBER(_xlpm.D)),"Chưa có dự kiến",
_xlpm.D-_xlpm.H
)))</f>
        <v>30</v>
      </c>
    </row>
    <row r="270" spans="1:32" ht="145.75" x14ac:dyDescent="0.4">
      <c r="A270" s="44">
        <v>46275</v>
      </c>
      <c r="B270" s="4" t="s">
        <v>320</v>
      </c>
      <c r="C270" s="5" t="s">
        <v>297</v>
      </c>
      <c r="D270" s="5">
        <v>18</v>
      </c>
      <c r="E270" s="5" t="str">
        <f>_xlfn.TEXTJOIN("+",TRUE,Table1[[#This Row],[Snapshot]:[ID]])</f>
        <v>46275+DIR-939D3D79BF21</v>
      </c>
      <c r="F270" s="5"/>
      <c r="G270" s="5" t="s">
        <v>1943</v>
      </c>
      <c r="H270" s="20" t="s">
        <v>1944</v>
      </c>
      <c r="I270" s="5" t="s">
        <v>75</v>
      </c>
      <c r="J270" s="4" t="s">
        <v>30</v>
      </c>
      <c r="K270" s="4" t="str" cm="1">
        <f t="array" ref="K27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70" s="4" t="s">
        <v>297</v>
      </c>
      <c r="M270" s="4" t="s">
        <v>321</v>
      </c>
      <c r="N270" s="4" t="s">
        <v>1701</v>
      </c>
      <c r="O270" s="4" t="s">
        <v>170</v>
      </c>
      <c r="P270" s="6">
        <v>46228</v>
      </c>
      <c r="Q270" s="6">
        <v>46228</v>
      </c>
      <c r="R270" s="5">
        <v>1</v>
      </c>
      <c r="S270" s="5" t="s">
        <v>82</v>
      </c>
      <c r="T270" s="13">
        <v>46265</v>
      </c>
      <c r="U270" s="13">
        <v>46265</v>
      </c>
      <c r="V270" s="5">
        <v>0</v>
      </c>
      <c r="W270" s="22">
        <f>_xlfn.LET(
_xlpm.H,Table1[[#This Row],[Thời hạn mới nhất (Date)]],
_xlpm.S,Table1[[#This Row],[Snapshot]],
IF(
    ISNUMBER(_xlpm.H),
    INT(_xlpm.H)-INT(_xlpm.S),
    "Không giao thời hạn"
))</f>
        <v>-10</v>
      </c>
      <c r="X270" s="4" t="s">
        <v>322</v>
      </c>
      <c r="Y270" s="5"/>
      <c r="Z270" s="5" t="s">
        <v>35</v>
      </c>
      <c r="AA270" s="5"/>
      <c r="AB270" s="4" t="s">
        <v>301</v>
      </c>
      <c r="AC270" s="6">
        <v>46295</v>
      </c>
      <c r="AD270" s="6">
        <v>46295</v>
      </c>
      <c r="AE270" s="4">
        <v>0</v>
      </c>
      <c r="AF270" s="26">
        <f>_xlfn.LET(
_xlpm.H,Table1[[#This Row],[Thời hạn mới nhất (Date)]],
_xlpm.D,Table1[[#This Row],[Dự kiến mới nhất (Date)]],
IF(
NOT(ISNUMBER(_xlpm.H)),"Không giao thời hạn",
IF(
NOT(ISNUMBER(_xlpm.D)),"Chưa có dự kiến",
_xlpm.D-_xlpm.H
)))</f>
        <v>30</v>
      </c>
    </row>
    <row r="271" spans="1:32" ht="160.30000000000001" x14ac:dyDescent="0.4">
      <c r="A271" s="44">
        <v>46282</v>
      </c>
      <c r="B271" s="4" t="s">
        <v>315</v>
      </c>
      <c r="C271" s="5" t="s">
        <v>297</v>
      </c>
      <c r="D271" s="5">
        <v>17</v>
      </c>
      <c r="E271" s="5" t="str">
        <f>_xlfn.TEXTJOIN("+",TRUE,Table1[[#This Row],[Snapshot]:[ID]])</f>
        <v>46282+DIR-93D4FD4FC295</v>
      </c>
      <c r="F271" s="5"/>
      <c r="G271" s="20" t="s">
        <v>1218</v>
      </c>
      <c r="H271" s="20" t="s">
        <v>1219</v>
      </c>
      <c r="I271" s="5" t="s">
        <v>69</v>
      </c>
      <c r="J271" s="4" t="s">
        <v>30</v>
      </c>
      <c r="K271" s="4" t="str" cm="1">
        <f t="array" ref="K27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271" s="4" t="s">
        <v>297</v>
      </c>
      <c r="M271" s="4" t="s">
        <v>316</v>
      </c>
      <c r="N271" s="4" t="s">
        <v>1701</v>
      </c>
      <c r="O271" s="4" t="s">
        <v>317</v>
      </c>
      <c r="P271" s="6">
        <v>46200</v>
      </c>
      <c r="Q271" s="6">
        <v>46214</v>
      </c>
      <c r="R271" s="5">
        <v>2</v>
      </c>
      <c r="S271" s="5" t="s">
        <v>318</v>
      </c>
      <c r="T271" s="13">
        <v>46220</v>
      </c>
      <c r="U271" s="13">
        <v>46220</v>
      </c>
      <c r="V271" s="5">
        <v>0</v>
      </c>
      <c r="W271" s="22">
        <f>_xlfn.LET(
_xlpm.H,Table1[[#This Row],[Thời hạn mới nhất (Date)]],
_xlpm.S,Table1[[#This Row],[Snapshot]],
IF(
    ISNUMBER(_xlpm.H),
    INT(_xlpm.H)-INT(_xlpm.S),
    "Không giao thời hạn"
))</f>
        <v>-62</v>
      </c>
      <c r="X271" s="4" t="s">
        <v>319</v>
      </c>
      <c r="Y271" s="5"/>
      <c r="Z271" s="5" t="s">
        <v>35</v>
      </c>
      <c r="AA271" s="5"/>
      <c r="AB271" s="4" t="s">
        <v>50</v>
      </c>
      <c r="AC271" s="6"/>
      <c r="AD271" s="6"/>
      <c r="AE271" s="4">
        <v>0</v>
      </c>
      <c r="AF271" s="26" t="str">
        <f>_xlfn.LET(
_xlpm.H,Table1[[#This Row],[Thời hạn mới nhất (Date)]],
_xlpm.D,Table1[[#This Row],[Dự kiến mới nhất (Date)]],
IF(
NOT(ISNUMBER(_xlpm.H)),"Không giao thời hạn",
IF(
NOT(ISNUMBER(_xlpm.D)),"Chưa có dự kiến",
_xlpm.D-_xlpm.H
)))</f>
        <v>Chưa có dự kiến</v>
      </c>
    </row>
    <row r="272" spans="1:32" ht="160.30000000000001" x14ac:dyDescent="0.4">
      <c r="A272" s="44">
        <v>46275</v>
      </c>
      <c r="B272" s="4" t="s">
        <v>315</v>
      </c>
      <c r="C272" s="5" t="s">
        <v>297</v>
      </c>
      <c r="D272" s="5">
        <v>17</v>
      </c>
      <c r="E272" s="5" t="str">
        <f>_xlfn.TEXTJOIN("+",TRUE,Table1[[#This Row],[Snapshot]:[ID]])</f>
        <v>46275+DIR-93D4FD4FC295</v>
      </c>
      <c r="F272" s="5"/>
      <c r="G272" s="5" t="s">
        <v>1220</v>
      </c>
      <c r="H272" s="20" t="s">
        <v>1221</v>
      </c>
      <c r="I272" s="5" t="s">
        <v>69</v>
      </c>
      <c r="J272" s="4" t="s">
        <v>30</v>
      </c>
      <c r="K272" s="4" t="str" cm="1">
        <f t="array" ref="K27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272" s="4" t="s">
        <v>297</v>
      </c>
      <c r="M272" s="4" t="s">
        <v>316</v>
      </c>
      <c r="N272" s="4" t="s">
        <v>1701</v>
      </c>
      <c r="O272" s="4" t="s">
        <v>317</v>
      </c>
      <c r="P272" s="6">
        <v>46200</v>
      </c>
      <c r="Q272" s="6">
        <v>46214</v>
      </c>
      <c r="R272" s="5">
        <v>2</v>
      </c>
      <c r="S272" s="5" t="s">
        <v>318</v>
      </c>
      <c r="T272" s="13">
        <v>46220</v>
      </c>
      <c r="U272" s="13">
        <v>46220</v>
      </c>
      <c r="V272" s="5">
        <v>0</v>
      </c>
      <c r="W272" s="22">
        <f>_xlfn.LET(
_xlpm.H,Table1[[#This Row],[Thời hạn mới nhất (Date)]],
_xlpm.S,Table1[[#This Row],[Snapshot]],
IF(
    ISNUMBER(_xlpm.H),
    INT(_xlpm.H)-INT(_xlpm.S),
    "Không giao thời hạn"
))</f>
        <v>-55</v>
      </c>
      <c r="X272" s="4" t="s">
        <v>319</v>
      </c>
      <c r="Y272" s="5"/>
      <c r="Z272" s="5" t="s">
        <v>35</v>
      </c>
      <c r="AA272" s="5"/>
      <c r="AB272" s="4" t="s">
        <v>50</v>
      </c>
      <c r="AC272" s="6"/>
      <c r="AD272" s="6"/>
      <c r="AE272" s="4">
        <v>0</v>
      </c>
      <c r="AF272" s="26" t="str">
        <f>_xlfn.LET(
_xlpm.H,Table1[[#This Row],[Thời hạn mới nhất (Date)]],
_xlpm.D,Table1[[#This Row],[Dự kiến mới nhất (Date)]],
IF(
NOT(ISNUMBER(_xlpm.H)),"Không giao thời hạn",
IF(
NOT(ISNUMBER(_xlpm.D)),"Chưa có dự kiến",
_xlpm.D-_xlpm.H
)))</f>
        <v>Chưa có dự kiến</v>
      </c>
    </row>
    <row r="273" spans="1:32" ht="160.30000000000001" x14ac:dyDescent="0.4">
      <c r="A273" s="44">
        <v>46282</v>
      </c>
      <c r="B273" s="4" t="s">
        <v>687</v>
      </c>
      <c r="C273" s="5" t="s">
        <v>688</v>
      </c>
      <c r="D273" s="5">
        <v>18</v>
      </c>
      <c r="E273" s="5" t="str">
        <f>_xlfn.TEXTJOIN("+",TRUE,Table1[[#This Row],[Snapshot]:[ID]])</f>
        <v>46282+DIR-9477440AFA94</v>
      </c>
      <c r="F273" s="5"/>
      <c r="G273" s="5" t="s">
        <v>1945</v>
      </c>
      <c r="H273" s="20" t="s">
        <v>1946</v>
      </c>
      <c r="I273" s="5" t="s">
        <v>45</v>
      </c>
      <c r="J273" s="4" t="s">
        <v>689</v>
      </c>
      <c r="K273" s="4" t="str" cm="1">
        <f t="array" ref="K27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273" s="4" t="s">
        <v>688</v>
      </c>
      <c r="M273" s="4" t="s">
        <v>543</v>
      </c>
      <c r="N273" s="4" t="s">
        <v>1696</v>
      </c>
      <c r="O273" s="4" t="s">
        <v>389</v>
      </c>
      <c r="P273" s="6">
        <v>46116</v>
      </c>
      <c r="Q273" s="6">
        <v>46116</v>
      </c>
      <c r="R273" s="5">
        <v>1</v>
      </c>
      <c r="S273" s="5"/>
      <c r="T273" s="13"/>
      <c r="U273" s="13"/>
      <c r="V273" s="5">
        <v>0</v>
      </c>
      <c r="W273" s="22" t="str">
        <f>_xlfn.LET(
_xlpm.H,Table1[[#This Row],[Thời hạn mới nhất (Date)]],
_xlpm.S,Table1[[#This Row],[Snapshot]],
IF(
    ISNUMBER(_xlpm.H),
    INT(_xlpm.H)-INT(_xlpm.S),
    "Không giao thời hạn"
))</f>
        <v>Không giao thời hạn</v>
      </c>
      <c r="X273" s="4" t="s">
        <v>963</v>
      </c>
      <c r="Y273" s="5"/>
      <c r="Z273" s="5" t="s">
        <v>35</v>
      </c>
      <c r="AA273" s="5"/>
      <c r="AB273" s="4"/>
      <c r="AC273" s="6"/>
      <c r="AD273" s="6"/>
      <c r="AE273" s="4">
        <v>0</v>
      </c>
      <c r="AF273" s="26" t="str">
        <f>_xlfn.LET(
_xlpm.H,Table1[[#This Row],[Thời hạn mới nhất (Date)]],
_xlpm.D,Table1[[#This Row],[Dự kiến mới nhất (Date)]],
IF(
NOT(ISNUMBER(_xlpm.H)),"Không giao thời hạn",
IF(
NOT(ISNUMBER(_xlpm.D)),"Chưa có dự kiến",
_xlpm.D-_xlpm.H
)))</f>
        <v>Không giao thời hạn</v>
      </c>
    </row>
    <row r="274" spans="1:32" ht="160.30000000000001" x14ac:dyDescent="0.4">
      <c r="A274" s="44">
        <v>46275</v>
      </c>
      <c r="B274" s="4" t="s">
        <v>687</v>
      </c>
      <c r="C274" s="5" t="s">
        <v>688</v>
      </c>
      <c r="D274" s="5">
        <v>18</v>
      </c>
      <c r="E274" s="5" t="str">
        <f>_xlfn.TEXTJOIN("+",TRUE,Table1[[#This Row],[Snapshot]:[ID]])</f>
        <v>46275+DIR-9477440AFA94</v>
      </c>
      <c r="F274" s="5"/>
      <c r="G274" s="5" t="s">
        <v>1947</v>
      </c>
      <c r="H274" s="20" t="s">
        <v>1948</v>
      </c>
      <c r="I274" s="5" t="s">
        <v>45</v>
      </c>
      <c r="J274" s="4" t="s">
        <v>689</v>
      </c>
      <c r="K274" s="4" t="str" cm="1">
        <f t="array" ref="K27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274" s="4" t="s">
        <v>688</v>
      </c>
      <c r="M274" s="4" t="s">
        <v>543</v>
      </c>
      <c r="N274" s="4" t="s">
        <v>1696</v>
      </c>
      <c r="O274" s="4" t="s">
        <v>389</v>
      </c>
      <c r="P274" s="6">
        <v>46116</v>
      </c>
      <c r="Q274" s="6">
        <v>46116</v>
      </c>
      <c r="R274" s="5">
        <v>1</v>
      </c>
      <c r="S274" s="5"/>
      <c r="T274" s="13"/>
      <c r="U274" s="13"/>
      <c r="V274" s="5">
        <v>0</v>
      </c>
      <c r="W274" s="22" t="str">
        <f>_xlfn.LET(
_xlpm.H,Table1[[#This Row],[Thời hạn mới nhất (Date)]],
_xlpm.S,Table1[[#This Row],[Snapshot]],
IF(
    ISNUMBER(_xlpm.H),
    INT(_xlpm.H)-INT(_xlpm.S),
    "Không giao thời hạn"
))</f>
        <v>Không giao thời hạn</v>
      </c>
      <c r="X274" s="4" t="s">
        <v>690</v>
      </c>
      <c r="Y274" s="5"/>
      <c r="Z274" s="5" t="s">
        <v>35</v>
      </c>
      <c r="AA274" s="5"/>
      <c r="AB274" s="4"/>
      <c r="AC274" s="6"/>
      <c r="AD274" s="6"/>
      <c r="AE274" s="4">
        <v>0</v>
      </c>
      <c r="AF274" s="26" t="str">
        <f>_xlfn.LET(
_xlpm.H,Table1[[#This Row],[Thời hạn mới nhất (Date)]],
_xlpm.D,Table1[[#This Row],[Dự kiến mới nhất (Date)]],
IF(
NOT(ISNUMBER(_xlpm.H)),"Không giao thời hạn",
IF(
NOT(ISNUMBER(_xlpm.D)),"Chưa có dự kiến",
_xlpm.D-_xlpm.H
)))</f>
        <v>Không giao thời hạn</v>
      </c>
    </row>
    <row r="275" spans="1:32" ht="131.15" x14ac:dyDescent="0.4">
      <c r="A275" s="44">
        <v>46282</v>
      </c>
      <c r="B275" s="4" t="s">
        <v>661</v>
      </c>
      <c r="C275" s="5" t="s">
        <v>607</v>
      </c>
      <c r="D275" s="5">
        <v>31</v>
      </c>
      <c r="E275" s="5" t="str">
        <f>_xlfn.TEXTJOIN("+",TRUE,Table1[[#This Row],[Snapshot]:[ID]])</f>
        <v>46282+DIR-9562EDC46832</v>
      </c>
      <c r="F275" s="5"/>
      <c r="G275" s="5" t="s">
        <v>1406</v>
      </c>
      <c r="H275" s="20" t="s">
        <v>1407</v>
      </c>
      <c r="I275" s="5" t="s">
        <v>69</v>
      </c>
      <c r="J275" s="4" t="s">
        <v>200</v>
      </c>
      <c r="K275" s="4" t="str" cm="1">
        <f t="array" ref="K27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275" s="4" t="s">
        <v>607</v>
      </c>
      <c r="M275" s="4" t="s">
        <v>662</v>
      </c>
      <c r="N275" s="4" t="s">
        <v>1700</v>
      </c>
      <c r="O275" s="4" t="s">
        <v>663</v>
      </c>
      <c r="P275" s="6">
        <v>46039</v>
      </c>
      <c r="Q275" s="6">
        <v>46039</v>
      </c>
      <c r="R275" s="5">
        <v>1</v>
      </c>
      <c r="S275" s="5"/>
      <c r="T275" s="13"/>
      <c r="U275" s="13"/>
      <c r="V275" s="5">
        <v>0</v>
      </c>
      <c r="W275" s="22" t="str">
        <f>_xlfn.LET(
_xlpm.H,Table1[[#This Row],[Thời hạn mới nhất (Date)]],
_xlpm.S,Table1[[#This Row],[Snapshot]],
IF(
    ISNUMBER(_xlpm.H),
    INT(_xlpm.H)-INT(_xlpm.S),
    "Không giao thời hạn"
))</f>
        <v>Không giao thời hạn</v>
      </c>
      <c r="X275" s="4" t="s">
        <v>664</v>
      </c>
      <c r="Y275" s="5"/>
      <c r="Z275" s="5" t="s">
        <v>35</v>
      </c>
      <c r="AA275" s="5"/>
      <c r="AB275" s="4" t="s">
        <v>61</v>
      </c>
      <c r="AC275" s="6"/>
      <c r="AD275" s="6"/>
      <c r="AE275" s="4">
        <v>0</v>
      </c>
      <c r="AF275" s="26" t="str">
        <f>_xlfn.LET(
_xlpm.H,Table1[[#This Row],[Thời hạn mới nhất (Date)]],
_xlpm.D,Table1[[#This Row],[Dự kiến mới nhất (Date)]],
IF(
NOT(ISNUMBER(_xlpm.H)),"Không giao thời hạn",
IF(
NOT(ISNUMBER(_xlpm.D)),"Chưa có dự kiến",
_xlpm.D-_xlpm.H
)))</f>
        <v>Không giao thời hạn</v>
      </c>
    </row>
    <row r="276" spans="1:32" ht="131.15" x14ac:dyDescent="0.4">
      <c r="A276" s="44">
        <v>46275</v>
      </c>
      <c r="B276" s="4" t="s">
        <v>661</v>
      </c>
      <c r="C276" s="5" t="s">
        <v>607</v>
      </c>
      <c r="D276" s="5">
        <v>31</v>
      </c>
      <c r="E276" s="5" t="str">
        <f>_xlfn.TEXTJOIN("+",TRUE,Table1[[#This Row],[Snapshot]:[ID]])</f>
        <v>46275+DIR-9562EDC46832</v>
      </c>
      <c r="F276" s="5"/>
      <c r="G276" s="5" t="s">
        <v>1406</v>
      </c>
      <c r="H276" s="20" t="s">
        <v>1407</v>
      </c>
      <c r="I276" s="5" t="s">
        <v>69</v>
      </c>
      <c r="J276" s="4" t="s">
        <v>200</v>
      </c>
      <c r="K276" s="4" t="str" cm="1">
        <f t="array" ref="K27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276" s="4" t="s">
        <v>607</v>
      </c>
      <c r="M276" s="4" t="s">
        <v>662</v>
      </c>
      <c r="N276" s="4" t="s">
        <v>1700</v>
      </c>
      <c r="O276" s="4" t="s">
        <v>663</v>
      </c>
      <c r="P276" s="6">
        <v>46039</v>
      </c>
      <c r="Q276" s="6">
        <v>46039</v>
      </c>
      <c r="R276" s="5">
        <v>1</v>
      </c>
      <c r="S276" s="5"/>
      <c r="T276" s="13"/>
      <c r="U276" s="13"/>
      <c r="V276" s="5">
        <v>0</v>
      </c>
      <c r="W276" s="22" t="str">
        <f>_xlfn.LET(
_xlpm.H,Table1[[#This Row],[Thời hạn mới nhất (Date)]],
_xlpm.S,Table1[[#This Row],[Snapshot]],
IF(
    ISNUMBER(_xlpm.H),
    INT(_xlpm.H)-INT(_xlpm.S),
    "Không giao thời hạn"
))</f>
        <v>Không giao thời hạn</v>
      </c>
      <c r="X276" s="4" t="s">
        <v>664</v>
      </c>
      <c r="Y276" s="5"/>
      <c r="Z276" s="5" t="s">
        <v>35</v>
      </c>
      <c r="AA276" s="5"/>
      <c r="AB276" s="4" t="s">
        <v>61</v>
      </c>
      <c r="AC276" s="6"/>
      <c r="AD276" s="6"/>
      <c r="AE276" s="4">
        <v>0</v>
      </c>
      <c r="AF276" s="26" t="str">
        <f>_xlfn.LET(
_xlpm.H,Table1[[#This Row],[Thời hạn mới nhất (Date)]],
_xlpm.D,Table1[[#This Row],[Dự kiến mới nhất (Date)]],
IF(
NOT(ISNUMBER(_xlpm.H)),"Không giao thời hạn",
IF(
NOT(ISNUMBER(_xlpm.D)),"Chưa có dự kiến",
_xlpm.D-_xlpm.H
)))</f>
        <v>Không giao thời hạn</v>
      </c>
    </row>
    <row r="277" spans="1:32" ht="145.75" x14ac:dyDescent="0.4">
      <c r="A277" s="44">
        <v>46282</v>
      </c>
      <c r="B277" s="4" t="s">
        <v>330</v>
      </c>
      <c r="C277" s="5" t="s">
        <v>297</v>
      </c>
      <c r="D277" s="5">
        <v>21</v>
      </c>
      <c r="E277" s="5" t="str">
        <f>_xlfn.TEXTJOIN("+",TRUE,Table1[[#This Row],[Snapshot]:[ID]])</f>
        <v>46282+DIR-95885622723D</v>
      </c>
      <c r="F277" s="5"/>
      <c r="G277" s="5" t="s">
        <v>1949</v>
      </c>
      <c r="H277" s="20" t="s">
        <v>1950</v>
      </c>
      <c r="I277" s="5" t="s">
        <v>89</v>
      </c>
      <c r="J277" s="4" t="s">
        <v>30</v>
      </c>
      <c r="K277" s="4" t="str" cm="1">
        <f t="array" ref="K27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77" s="4" t="s">
        <v>297</v>
      </c>
      <c r="M277" s="4" t="s">
        <v>331</v>
      </c>
      <c r="N277" s="4" t="s">
        <v>1701</v>
      </c>
      <c r="O277" s="4" t="s">
        <v>275</v>
      </c>
      <c r="P277" s="6">
        <v>46256</v>
      </c>
      <c r="Q277" s="6">
        <v>46256</v>
      </c>
      <c r="R277" s="5">
        <v>1</v>
      </c>
      <c r="S277" s="5" t="s">
        <v>332</v>
      </c>
      <c r="T277" s="13">
        <v>46266</v>
      </c>
      <c r="U277" s="13">
        <v>46266</v>
      </c>
      <c r="V277" s="5">
        <v>0</v>
      </c>
      <c r="W277" s="22">
        <f>_xlfn.LET(
_xlpm.H,Table1[[#This Row],[Thời hạn mới nhất (Date)]],
_xlpm.S,Table1[[#This Row],[Snapshot]],
IF(
    ISNUMBER(_xlpm.H),
    INT(_xlpm.H)-INT(_xlpm.S),
    "Không giao thời hạn"
))</f>
        <v>-16</v>
      </c>
      <c r="X277" s="4" t="s">
        <v>333</v>
      </c>
      <c r="Y277" s="5"/>
      <c r="Z277" s="5" t="s">
        <v>35</v>
      </c>
      <c r="AA277" s="5"/>
      <c r="AB277" s="4" t="s">
        <v>334</v>
      </c>
      <c r="AC277" s="6">
        <v>46387</v>
      </c>
      <c r="AD277" s="6">
        <v>46387</v>
      </c>
      <c r="AE277" s="4">
        <v>0</v>
      </c>
      <c r="AF277" s="26">
        <f>_xlfn.LET(
_xlpm.H,Table1[[#This Row],[Thời hạn mới nhất (Date)]],
_xlpm.D,Table1[[#This Row],[Dự kiến mới nhất (Date)]],
IF(
NOT(ISNUMBER(_xlpm.H)),"Không giao thời hạn",
IF(
NOT(ISNUMBER(_xlpm.D)),"Chưa có dự kiến",
_xlpm.D-_xlpm.H
)))</f>
        <v>121</v>
      </c>
    </row>
    <row r="278" spans="1:32" ht="160.30000000000001" x14ac:dyDescent="0.4">
      <c r="A278" s="44">
        <v>46275</v>
      </c>
      <c r="B278" s="4" t="s">
        <v>330</v>
      </c>
      <c r="C278" s="5" t="s">
        <v>297</v>
      </c>
      <c r="D278" s="5">
        <v>21</v>
      </c>
      <c r="E278" s="5" t="str">
        <f>_xlfn.TEXTJOIN("+",TRUE,Table1[[#This Row],[Snapshot]:[ID]])</f>
        <v>46275+DIR-95885622723D</v>
      </c>
      <c r="F278" s="5"/>
      <c r="G278" s="5" t="s">
        <v>1951</v>
      </c>
      <c r="H278" s="20" t="s">
        <v>1952</v>
      </c>
      <c r="I278" s="5" t="s">
        <v>89</v>
      </c>
      <c r="J278" s="4" t="s">
        <v>30</v>
      </c>
      <c r="K278" s="4" t="str" cm="1">
        <f t="array" ref="K27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78" s="4" t="s">
        <v>297</v>
      </c>
      <c r="M278" s="4" t="s">
        <v>331</v>
      </c>
      <c r="N278" s="4" t="s">
        <v>1701</v>
      </c>
      <c r="O278" s="4" t="s">
        <v>275</v>
      </c>
      <c r="P278" s="6">
        <v>46256</v>
      </c>
      <c r="Q278" s="6">
        <v>46256</v>
      </c>
      <c r="R278" s="5">
        <v>1</v>
      </c>
      <c r="S278" s="5" t="s">
        <v>332</v>
      </c>
      <c r="T278" s="13">
        <v>46266</v>
      </c>
      <c r="U278" s="13">
        <v>46266</v>
      </c>
      <c r="V278" s="5">
        <v>0</v>
      </c>
      <c r="W278" s="22">
        <f>_xlfn.LET(
_xlpm.H,Table1[[#This Row],[Thời hạn mới nhất (Date)]],
_xlpm.S,Table1[[#This Row],[Snapshot]],
IF(
    ISNUMBER(_xlpm.H),
    INT(_xlpm.H)-INT(_xlpm.S),
    "Không giao thời hạn"
))</f>
        <v>-9</v>
      </c>
      <c r="X278" s="4" t="s">
        <v>333</v>
      </c>
      <c r="Y278" s="5"/>
      <c r="Z278" s="5" t="s">
        <v>35</v>
      </c>
      <c r="AA278" s="5"/>
      <c r="AB278" s="4" t="s">
        <v>334</v>
      </c>
      <c r="AC278" s="6">
        <v>46387</v>
      </c>
      <c r="AD278" s="6">
        <v>46387</v>
      </c>
      <c r="AE278" s="4">
        <v>0</v>
      </c>
      <c r="AF278" s="26">
        <f>_xlfn.LET(
_xlpm.H,Table1[[#This Row],[Thời hạn mới nhất (Date)]],
_xlpm.D,Table1[[#This Row],[Dự kiến mới nhất (Date)]],
IF(
NOT(ISNUMBER(_xlpm.H)),"Không giao thời hạn",
IF(
NOT(ISNUMBER(_xlpm.D)),"Chưa có dự kiến",
_xlpm.D-_xlpm.H
)))</f>
        <v>121</v>
      </c>
    </row>
    <row r="279" spans="1:32" ht="116.6" x14ac:dyDescent="0.4">
      <c r="A279" s="44">
        <v>46275</v>
      </c>
      <c r="B279" s="4" t="s">
        <v>509</v>
      </c>
      <c r="C279" s="5" t="s">
        <v>469</v>
      </c>
      <c r="D279" s="5">
        <v>23</v>
      </c>
      <c r="E279" s="5" t="str">
        <f>_xlfn.TEXTJOIN("+",TRUE,Table1[[#This Row],[Snapshot]:[ID]])</f>
        <v>46275+DIR-96C971493677</v>
      </c>
      <c r="F279" s="5"/>
      <c r="G279" s="5" t="s">
        <v>1374</v>
      </c>
      <c r="H279" s="20" t="s">
        <v>1375</v>
      </c>
      <c r="I279" s="5" t="s">
        <v>93</v>
      </c>
      <c r="J279" s="4" t="s">
        <v>30</v>
      </c>
      <c r="K279" s="4" t="str" cm="1">
        <f t="array" ref="K27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279" s="4" t="s">
        <v>469</v>
      </c>
      <c r="M279" s="4" t="s">
        <v>510</v>
      </c>
      <c r="N279" s="4" t="s">
        <v>1713</v>
      </c>
      <c r="O279" s="4" t="s">
        <v>181</v>
      </c>
      <c r="P279" s="13">
        <v>46270</v>
      </c>
      <c r="Q279" s="13">
        <v>46270</v>
      </c>
      <c r="R279" s="5">
        <v>1</v>
      </c>
      <c r="S279" s="5"/>
      <c r="T279" s="13"/>
      <c r="U279" s="13"/>
      <c r="V279" s="5">
        <v>0</v>
      </c>
      <c r="W279" s="22" t="str">
        <f>_xlfn.LET(
_xlpm.H,Table1[[#This Row],[Thời hạn mới nhất (Date)]],
_xlpm.S,Table1[[#This Row],[Snapshot]],
IF(
    ISNUMBER(_xlpm.H),
    INT(_xlpm.H)-INT(_xlpm.S),
    "Không giao thời hạn"
))</f>
        <v>Không giao thời hạn</v>
      </c>
      <c r="X279" s="4" t="s">
        <v>511</v>
      </c>
      <c r="Y279" s="5" t="s">
        <v>194</v>
      </c>
      <c r="Z279" s="5"/>
      <c r="AA279" s="5"/>
      <c r="AB279" s="4"/>
      <c r="AC279" s="6"/>
      <c r="AD279" s="6"/>
      <c r="AE279" s="4">
        <v>0</v>
      </c>
      <c r="AF279" s="26" t="str">
        <f>_xlfn.LET(
_xlpm.H,Table1[[#This Row],[Thời hạn mới nhất (Date)]],
_xlpm.D,Table1[[#This Row],[Dự kiến mới nhất (Date)]],
IF(
NOT(ISNUMBER(_xlpm.H)),"Không giao thời hạn",
IF(
NOT(ISNUMBER(_xlpm.D)),"Chưa có dự kiến",
_xlpm.D-_xlpm.H
)))</f>
        <v>Không giao thời hạn</v>
      </c>
    </row>
    <row r="280" spans="1:32" ht="145.75" x14ac:dyDescent="0.4">
      <c r="A280" s="44">
        <v>46282</v>
      </c>
      <c r="B280" s="4" t="s">
        <v>722</v>
      </c>
      <c r="C280" s="5" t="s">
        <v>688</v>
      </c>
      <c r="D280" s="5">
        <v>27</v>
      </c>
      <c r="E280" s="5" t="str">
        <f>_xlfn.TEXTJOIN("+",TRUE,Table1[[#This Row],[Snapshot]:[ID]])</f>
        <v>46282+DIR-9825B363251D</v>
      </c>
      <c r="F280" s="5"/>
      <c r="G280" s="5" t="s">
        <v>1953</v>
      </c>
      <c r="H280" s="20" t="s">
        <v>1954</v>
      </c>
      <c r="I280" s="5" t="s">
        <v>93</v>
      </c>
      <c r="J280" s="4" t="s">
        <v>689</v>
      </c>
      <c r="K280" s="4" t="str" cm="1">
        <f t="array" ref="K28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27. Booth Đa năng và Kênh Bán hàng Lưu động</v>
      </c>
      <c r="L280" s="4" t="s">
        <v>688</v>
      </c>
      <c r="M280" s="4" t="s">
        <v>723</v>
      </c>
      <c r="N280" s="4" t="s">
        <v>1696</v>
      </c>
      <c r="O280" s="4" t="s">
        <v>160</v>
      </c>
      <c r="P280" s="6">
        <v>46214</v>
      </c>
      <c r="Q280" s="6">
        <v>46214</v>
      </c>
      <c r="R280" s="5">
        <v>1</v>
      </c>
      <c r="S280" s="5" t="s">
        <v>318</v>
      </c>
      <c r="T280" s="13">
        <v>46220</v>
      </c>
      <c r="U280" s="13">
        <v>46220</v>
      </c>
      <c r="V280" s="5">
        <v>0</v>
      </c>
      <c r="W280" s="22">
        <f>_xlfn.LET(
_xlpm.H,Table1[[#This Row],[Thời hạn mới nhất (Date)]],
_xlpm.S,Table1[[#This Row],[Snapshot]],
IF(
    ISNUMBER(_xlpm.H),
    INT(_xlpm.H)-INT(_xlpm.S),
    "Không giao thời hạn"
))</f>
        <v>-62</v>
      </c>
      <c r="X280" s="4" t="s">
        <v>968</v>
      </c>
      <c r="Y280" s="5"/>
      <c r="Z280" s="5"/>
      <c r="AA280" s="5" t="s">
        <v>35</v>
      </c>
      <c r="AB280" s="4" t="s">
        <v>725</v>
      </c>
      <c r="AC280" s="6">
        <v>46295</v>
      </c>
      <c r="AD280" s="6">
        <v>46295</v>
      </c>
      <c r="AE280" s="4">
        <v>0</v>
      </c>
      <c r="AF280" s="26">
        <f>_xlfn.LET(
_xlpm.H,Table1[[#This Row],[Thời hạn mới nhất (Date)]],
_xlpm.D,Table1[[#This Row],[Dự kiến mới nhất (Date)]],
IF(
NOT(ISNUMBER(_xlpm.H)),"Không giao thời hạn",
IF(
NOT(ISNUMBER(_xlpm.D)),"Chưa có dự kiến",
_xlpm.D-_xlpm.H
)))</f>
        <v>75</v>
      </c>
    </row>
    <row r="281" spans="1:32" ht="145.75" x14ac:dyDescent="0.4">
      <c r="A281" s="44">
        <v>46275</v>
      </c>
      <c r="B281" s="4" t="s">
        <v>722</v>
      </c>
      <c r="C281" s="5" t="s">
        <v>688</v>
      </c>
      <c r="D281" s="5">
        <v>27</v>
      </c>
      <c r="E281" s="5" t="str">
        <f>_xlfn.TEXTJOIN("+",TRUE,Table1[[#This Row],[Snapshot]:[ID]])</f>
        <v>46275+DIR-9825B363251D</v>
      </c>
      <c r="F281" s="5"/>
      <c r="G281" s="5" t="s">
        <v>1955</v>
      </c>
      <c r="H281" s="20" t="s">
        <v>1956</v>
      </c>
      <c r="I281" s="5" t="s">
        <v>93</v>
      </c>
      <c r="J281" s="4" t="s">
        <v>689</v>
      </c>
      <c r="K281" s="4" t="str" cm="1">
        <f t="array" ref="K28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27. Booth Đa năng và Kênh Bán hàng Lưu động</v>
      </c>
      <c r="L281" s="4" t="s">
        <v>688</v>
      </c>
      <c r="M281" s="4" t="s">
        <v>723</v>
      </c>
      <c r="N281" s="4" t="s">
        <v>1696</v>
      </c>
      <c r="O281" s="4" t="s">
        <v>160</v>
      </c>
      <c r="P281" s="6">
        <v>46214</v>
      </c>
      <c r="Q281" s="6">
        <v>46214</v>
      </c>
      <c r="R281" s="5">
        <v>1</v>
      </c>
      <c r="S281" s="5" t="s">
        <v>318</v>
      </c>
      <c r="T281" s="13">
        <v>46220</v>
      </c>
      <c r="U281" s="13">
        <v>46220</v>
      </c>
      <c r="V281" s="5">
        <v>0</v>
      </c>
      <c r="W281" s="22">
        <f>_xlfn.LET(
_xlpm.H,Table1[[#This Row],[Thời hạn mới nhất (Date)]],
_xlpm.S,Table1[[#This Row],[Snapshot]],
IF(
    ISNUMBER(_xlpm.H),
    INT(_xlpm.H)-INT(_xlpm.S),
    "Không giao thời hạn"
))</f>
        <v>-55</v>
      </c>
      <c r="X281" s="4" t="s">
        <v>724</v>
      </c>
      <c r="Y281" s="5"/>
      <c r="Z281" s="5"/>
      <c r="AA281" s="5" t="s">
        <v>35</v>
      </c>
      <c r="AB281" s="4" t="s">
        <v>725</v>
      </c>
      <c r="AC281" s="6">
        <v>46295</v>
      </c>
      <c r="AD281" s="6">
        <v>46295</v>
      </c>
      <c r="AE281" s="4">
        <v>0</v>
      </c>
      <c r="AF281" s="26">
        <f>_xlfn.LET(
_xlpm.H,Table1[[#This Row],[Thời hạn mới nhất (Date)]],
_xlpm.D,Table1[[#This Row],[Dự kiến mới nhất (Date)]],
IF(
NOT(ISNUMBER(_xlpm.H)),"Không giao thời hạn",
IF(
NOT(ISNUMBER(_xlpm.D)),"Chưa có dự kiến",
_xlpm.D-_xlpm.H
)))</f>
        <v>75</v>
      </c>
    </row>
    <row r="282" spans="1:32" ht="116.6" x14ac:dyDescent="0.4">
      <c r="A282" s="44">
        <v>46282</v>
      </c>
      <c r="B282" s="4" t="s">
        <v>652</v>
      </c>
      <c r="C282" s="5" t="s">
        <v>607</v>
      </c>
      <c r="D282" s="5">
        <v>28</v>
      </c>
      <c r="E282" s="5" t="str">
        <f>_xlfn.TEXTJOIN("+",TRUE,Table1[[#This Row],[Snapshot]:[ID]])</f>
        <v>46282+DIR-983F524C52F1</v>
      </c>
      <c r="F282" s="5"/>
      <c r="G282" s="5" t="s">
        <v>1957</v>
      </c>
      <c r="H282" s="20" t="s">
        <v>1958</v>
      </c>
      <c r="I282" s="5" t="s">
        <v>52</v>
      </c>
      <c r="J282" s="4" t="s">
        <v>200</v>
      </c>
      <c r="K282" s="4" t="str" cm="1">
        <f t="array" ref="K28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82" s="4" t="s">
        <v>607</v>
      </c>
      <c r="M282" s="4" t="s">
        <v>341</v>
      </c>
      <c r="N282" s="4" t="s">
        <v>1700</v>
      </c>
      <c r="O282" s="4" t="s">
        <v>160</v>
      </c>
      <c r="P282" s="6">
        <v>46214</v>
      </c>
      <c r="Q282" s="6">
        <v>46214</v>
      </c>
      <c r="R282" s="5">
        <v>1</v>
      </c>
      <c r="S282" s="5"/>
      <c r="T282" s="13"/>
      <c r="U282" s="13"/>
      <c r="V282" s="5">
        <v>0</v>
      </c>
      <c r="W282" s="22" t="str">
        <f>_xlfn.LET(
_xlpm.H,Table1[[#This Row],[Thời hạn mới nhất (Date)]],
_xlpm.S,Table1[[#This Row],[Snapshot]],
IF(
    ISNUMBER(_xlpm.H),
    INT(_xlpm.H)-INT(_xlpm.S),
    "Không giao thời hạn"
))</f>
        <v>Không giao thời hạn</v>
      </c>
      <c r="X282" s="4" t="s">
        <v>653</v>
      </c>
      <c r="Y282" s="5"/>
      <c r="Z282" s="5" t="s">
        <v>35</v>
      </c>
      <c r="AA282" s="5"/>
      <c r="AB282" s="4" t="s">
        <v>50</v>
      </c>
      <c r="AC282" s="6"/>
      <c r="AD282" s="6"/>
      <c r="AE282" s="4">
        <v>0</v>
      </c>
      <c r="AF282" s="26" t="str">
        <f>_xlfn.LET(
_xlpm.H,Table1[[#This Row],[Thời hạn mới nhất (Date)]],
_xlpm.D,Table1[[#This Row],[Dự kiến mới nhất (Date)]],
IF(
NOT(ISNUMBER(_xlpm.H)),"Không giao thời hạn",
IF(
NOT(ISNUMBER(_xlpm.D)),"Chưa có dự kiến",
_xlpm.D-_xlpm.H
)))</f>
        <v>Không giao thời hạn</v>
      </c>
    </row>
    <row r="283" spans="1:32" ht="145.75" x14ac:dyDescent="0.4">
      <c r="A283" s="44">
        <v>46275</v>
      </c>
      <c r="B283" s="4" t="s">
        <v>652</v>
      </c>
      <c r="C283" s="5" t="s">
        <v>607</v>
      </c>
      <c r="D283" s="5">
        <v>28</v>
      </c>
      <c r="E283" s="5" t="str">
        <f>_xlfn.TEXTJOIN("+",TRUE,Table1[[#This Row],[Snapshot]:[ID]])</f>
        <v>46275+DIR-983F524C52F1</v>
      </c>
      <c r="F283" s="5"/>
      <c r="G283" s="5" t="s">
        <v>1959</v>
      </c>
      <c r="H283" s="20" t="s">
        <v>1960</v>
      </c>
      <c r="I283" s="5" t="s">
        <v>52</v>
      </c>
      <c r="J283" s="4" t="s">
        <v>200</v>
      </c>
      <c r="K283" s="4" t="str" cm="1">
        <f t="array" ref="K28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83" s="4" t="s">
        <v>607</v>
      </c>
      <c r="M283" s="4" t="s">
        <v>341</v>
      </c>
      <c r="N283" s="4" t="s">
        <v>1700</v>
      </c>
      <c r="O283" s="4" t="s">
        <v>160</v>
      </c>
      <c r="P283" s="6">
        <v>46214</v>
      </c>
      <c r="Q283" s="6">
        <v>46214</v>
      </c>
      <c r="R283" s="5">
        <v>1</v>
      </c>
      <c r="S283" s="5"/>
      <c r="T283" s="13"/>
      <c r="U283" s="13"/>
      <c r="V283" s="5">
        <v>0</v>
      </c>
      <c r="W283" s="22" t="str">
        <f>_xlfn.LET(
_xlpm.H,Table1[[#This Row],[Thời hạn mới nhất (Date)]],
_xlpm.S,Table1[[#This Row],[Snapshot]],
IF(
    ISNUMBER(_xlpm.H),
    INT(_xlpm.H)-INT(_xlpm.S),
    "Không giao thời hạn"
))</f>
        <v>Không giao thời hạn</v>
      </c>
      <c r="X283" s="4" t="s">
        <v>653</v>
      </c>
      <c r="Y283" s="5"/>
      <c r="Z283" s="5" t="s">
        <v>35</v>
      </c>
      <c r="AA283" s="5"/>
      <c r="AB283" s="4" t="s">
        <v>50</v>
      </c>
      <c r="AC283" s="6"/>
      <c r="AD283" s="6"/>
      <c r="AE283" s="4">
        <v>0</v>
      </c>
      <c r="AF283" s="26" t="str">
        <f>_xlfn.LET(
_xlpm.H,Table1[[#This Row],[Thời hạn mới nhất (Date)]],
_xlpm.D,Table1[[#This Row],[Dự kiến mới nhất (Date)]],
IF(
NOT(ISNUMBER(_xlpm.H)),"Không giao thời hạn",
IF(
NOT(ISNUMBER(_xlpm.D)),"Chưa có dự kiến",
_xlpm.D-_xlpm.H
)))</f>
        <v>Không giao thời hạn</v>
      </c>
    </row>
    <row r="284" spans="1:32" ht="131.15" x14ac:dyDescent="0.4">
      <c r="A284" s="44">
        <v>46282</v>
      </c>
      <c r="B284" s="4" t="s">
        <v>873</v>
      </c>
      <c r="C284" s="5" t="s">
        <v>861</v>
      </c>
      <c r="D284" s="5">
        <v>17</v>
      </c>
      <c r="E284" s="5" t="str">
        <f>_xlfn.TEXTJOIN("+",TRUE,Table1[[#This Row],[Snapshot]:[ID]])</f>
        <v>46282+DIR-9852AE1211E5</v>
      </c>
      <c r="F284" s="5"/>
      <c r="G284" s="5" t="s">
        <v>1961</v>
      </c>
      <c r="H284" s="20" t="s">
        <v>1962</v>
      </c>
      <c r="I284" s="5" t="s">
        <v>52</v>
      </c>
      <c r="J284" s="4" t="s">
        <v>200</v>
      </c>
      <c r="K284" s="4" t="str" cm="1">
        <f t="array" ref="K28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84" s="4" t="s">
        <v>861</v>
      </c>
      <c r="M284" s="4" t="s">
        <v>874</v>
      </c>
      <c r="N284" s="4" t="s">
        <v>1709</v>
      </c>
      <c r="O284" s="4" t="s">
        <v>389</v>
      </c>
      <c r="P284" s="6">
        <v>46116</v>
      </c>
      <c r="Q284" s="6">
        <v>46116</v>
      </c>
      <c r="R284" s="5">
        <v>1</v>
      </c>
      <c r="S284" s="5"/>
      <c r="T284" s="13"/>
      <c r="U284" s="13"/>
      <c r="V284" s="5">
        <v>0</v>
      </c>
      <c r="W284" s="22" t="str">
        <f>_xlfn.LET(
_xlpm.H,Table1[[#This Row],[Thời hạn mới nhất (Date)]],
_xlpm.S,Table1[[#This Row],[Snapshot]],
IF(
    ISNUMBER(_xlpm.H),
    INT(_xlpm.H)-INT(_xlpm.S),
    "Không giao thời hạn"
))</f>
        <v>Không giao thời hạn</v>
      </c>
      <c r="X284" s="4" t="s">
        <v>875</v>
      </c>
      <c r="Y284" s="5"/>
      <c r="Z284" s="5" t="s">
        <v>35</v>
      </c>
      <c r="AA284" s="5"/>
      <c r="AB284" s="4"/>
      <c r="AC284" s="6"/>
      <c r="AD284" s="6"/>
      <c r="AE284" s="4">
        <v>0</v>
      </c>
      <c r="AF284" s="26" t="str">
        <f>_xlfn.LET(
_xlpm.H,Table1[[#This Row],[Thời hạn mới nhất (Date)]],
_xlpm.D,Table1[[#This Row],[Dự kiến mới nhất (Date)]],
IF(
NOT(ISNUMBER(_xlpm.H)),"Không giao thời hạn",
IF(
NOT(ISNUMBER(_xlpm.D)),"Chưa có dự kiến",
_xlpm.D-_xlpm.H
)))</f>
        <v>Không giao thời hạn</v>
      </c>
    </row>
    <row r="285" spans="1:32" ht="160.30000000000001" x14ac:dyDescent="0.4">
      <c r="A285" s="44">
        <v>46275</v>
      </c>
      <c r="B285" s="4" t="s">
        <v>873</v>
      </c>
      <c r="C285" s="5" t="s">
        <v>861</v>
      </c>
      <c r="D285" s="5">
        <v>18</v>
      </c>
      <c r="E285" s="5" t="str">
        <f>_xlfn.TEXTJOIN("+",TRUE,Table1[[#This Row],[Snapshot]:[ID]])</f>
        <v>46275+DIR-9852AE1211E5</v>
      </c>
      <c r="F285" s="5"/>
      <c r="G285" s="5" t="s">
        <v>1963</v>
      </c>
      <c r="H285" s="20" t="s">
        <v>1964</v>
      </c>
      <c r="I285" s="5" t="s">
        <v>52</v>
      </c>
      <c r="J285" s="4" t="s">
        <v>200</v>
      </c>
      <c r="K285" s="4" t="str" cm="1">
        <f t="array" ref="K28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285" s="4" t="s">
        <v>861</v>
      </c>
      <c r="M285" s="4" t="s">
        <v>874</v>
      </c>
      <c r="N285" s="4" t="s">
        <v>1709</v>
      </c>
      <c r="O285" s="4" t="s">
        <v>389</v>
      </c>
      <c r="P285" s="6">
        <v>46116</v>
      </c>
      <c r="Q285" s="6">
        <v>46116</v>
      </c>
      <c r="R285" s="5">
        <v>1</v>
      </c>
      <c r="S285" s="5"/>
      <c r="T285" s="13"/>
      <c r="U285" s="13"/>
      <c r="V285" s="5">
        <v>0</v>
      </c>
      <c r="W285" s="22" t="str">
        <f>_xlfn.LET(
_xlpm.H,Table1[[#This Row],[Thời hạn mới nhất (Date)]],
_xlpm.S,Table1[[#This Row],[Snapshot]],
IF(
    ISNUMBER(_xlpm.H),
    INT(_xlpm.H)-INT(_xlpm.S),
    "Không giao thời hạn"
))</f>
        <v>Không giao thời hạn</v>
      </c>
      <c r="X285" s="4" t="s">
        <v>875</v>
      </c>
      <c r="Y285" s="5"/>
      <c r="Z285" s="5" t="s">
        <v>35</v>
      </c>
      <c r="AA285" s="5"/>
      <c r="AB285" s="4"/>
      <c r="AC285" s="6"/>
      <c r="AD285" s="6"/>
      <c r="AE285" s="4">
        <v>0</v>
      </c>
      <c r="AF285" s="26" t="str">
        <f>_xlfn.LET(
_xlpm.H,Table1[[#This Row],[Thời hạn mới nhất (Date)]],
_xlpm.D,Table1[[#This Row],[Dự kiến mới nhất (Date)]],
IF(
NOT(ISNUMBER(_xlpm.H)),"Không giao thời hạn",
IF(
NOT(ISNUMBER(_xlpm.D)),"Chưa có dự kiến",
_xlpm.D-_xlpm.H
)))</f>
        <v>Không giao thời hạn</v>
      </c>
    </row>
    <row r="286" spans="1:32" ht="349.75" x14ac:dyDescent="0.4">
      <c r="A286" s="44">
        <v>46282</v>
      </c>
      <c r="B286" s="4" t="s">
        <v>356</v>
      </c>
      <c r="C286" s="5" t="s">
        <v>352</v>
      </c>
      <c r="D286" s="5">
        <v>14</v>
      </c>
      <c r="E286" s="5" t="str">
        <f>_xlfn.TEXTJOIN("+",TRUE,Table1[[#This Row],[Snapshot]:[ID]])</f>
        <v>46282+DIR-9A76B479F82B</v>
      </c>
      <c r="F286" s="5"/>
      <c r="G286" s="5" t="s">
        <v>1965</v>
      </c>
      <c r="H286" s="20" t="s">
        <v>1966</v>
      </c>
      <c r="I286" s="5" t="s">
        <v>52</v>
      </c>
      <c r="J286" s="4" t="s">
        <v>30</v>
      </c>
      <c r="K286" s="4" t="str" cm="1">
        <f t="array" ref="K28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286" s="4" t="s">
        <v>352</v>
      </c>
      <c r="M286" s="4" t="s">
        <v>357</v>
      </c>
      <c r="N286" s="4" t="s">
        <v>1702</v>
      </c>
      <c r="O286" s="4" t="s">
        <v>65</v>
      </c>
      <c r="P286" s="6">
        <v>46216</v>
      </c>
      <c r="Q286" s="6">
        <v>46216</v>
      </c>
      <c r="R286" s="5">
        <v>1</v>
      </c>
      <c r="S286" s="5" t="s">
        <v>358</v>
      </c>
      <c r="T286" s="13">
        <v>46234</v>
      </c>
      <c r="U286" s="13">
        <v>46234</v>
      </c>
      <c r="V286" s="5">
        <v>0</v>
      </c>
      <c r="W286" s="22">
        <f>_xlfn.LET(
_xlpm.H,Table1[[#This Row],[Thời hạn mới nhất (Date)]],
_xlpm.S,Table1[[#This Row],[Snapshot]],
IF(
    ISNUMBER(_xlpm.H),
    INT(_xlpm.H)-INT(_xlpm.S),
    "Không giao thời hạn"
))</f>
        <v>-48</v>
      </c>
      <c r="X286" s="4" t="s">
        <v>359</v>
      </c>
      <c r="Y286" s="5"/>
      <c r="Z286" s="5" t="s">
        <v>35</v>
      </c>
      <c r="AA286" s="5"/>
      <c r="AB286" s="4" t="s">
        <v>182</v>
      </c>
      <c r="AC286" s="6">
        <v>46295</v>
      </c>
      <c r="AD286" s="6">
        <v>46295</v>
      </c>
      <c r="AE286" s="4">
        <v>0</v>
      </c>
      <c r="AF286" s="26">
        <f>_xlfn.LET(
_xlpm.H,Table1[[#This Row],[Thời hạn mới nhất (Date)]],
_xlpm.D,Table1[[#This Row],[Dự kiến mới nhất (Date)]],
IF(
NOT(ISNUMBER(_xlpm.H)),"Không giao thời hạn",
IF(
NOT(ISNUMBER(_xlpm.D)),"Chưa có dự kiến",
_xlpm.D-_xlpm.H
)))</f>
        <v>61</v>
      </c>
    </row>
    <row r="287" spans="1:32" ht="349.75" x14ac:dyDescent="0.4">
      <c r="A287" s="44">
        <v>46275</v>
      </c>
      <c r="B287" s="4" t="s">
        <v>356</v>
      </c>
      <c r="C287" s="5" t="s">
        <v>352</v>
      </c>
      <c r="D287" s="5">
        <v>14</v>
      </c>
      <c r="E287" s="5" t="str">
        <f>_xlfn.TEXTJOIN("+",TRUE,Table1[[#This Row],[Snapshot]:[ID]])</f>
        <v>46275+DIR-9A76B479F82B</v>
      </c>
      <c r="F287" s="5"/>
      <c r="G287" s="5" t="s">
        <v>1967</v>
      </c>
      <c r="H287" s="20" t="s">
        <v>1968</v>
      </c>
      <c r="I287" s="5" t="s">
        <v>52</v>
      </c>
      <c r="J287" s="4" t="s">
        <v>30</v>
      </c>
      <c r="K287" s="4" t="str" cm="1">
        <f t="array" ref="K28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287" s="4" t="s">
        <v>352</v>
      </c>
      <c r="M287" s="4" t="s">
        <v>357</v>
      </c>
      <c r="N287" s="4" t="s">
        <v>1702</v>
      </c>
      <c r="O287" s="4" t="s">
        <v>65</v>
      </c>
      <c r="P287" s="6">
        <v>46216</v>
      </c>
      <c r="Q287" s="6">
        <v>46216</v>
      </c>
      <c r="R287" s="5">
        <v>1</v>
      </c>
      <c r="S287" s="5" t="s">
        <v>358</v>
      </c>
      <c r="T287" s="13">
        <v>46234</v>
      </c>
      <c r="U287" s="13">
        <v>46234</v>
      </c>
      <c r="V287" s="5">
        <v>0</v>
      </c>
      <c r="W287" s="22">
        <f>_xlfn.LET(
_xlpm.H,Table1[[#This Row],[Thời hạn mới nhất (Date)]],
_xlpm.S,Table1[[#This Row],[Snapshot]],
IF(
    ISNUMBER(_xlpm.H),
    INT(_xlpm.H)-INT(_xlpm.S),
    "Không giao thời hạn"
))</f>
        <v>-41</v>
      </c>
      <c r="X287" s="4" t="s">
        <v>359</v>
      </c>
      <c r="Y287" s="5"/>
      <c r="Z287" s="5" t="s">
        <v>35</v>
      </c>
      <c r="AA287" s="5"/>
      <c r="AB287" s="4" t="s">
        <v>182</v>
      </c>
      <c r="AC287" s="6">
        <v>46295</v>
      </c>
      <c r="AD287" s="6">
        <v>46295</v>
      </c>
      <c r="AE287" s="4">
        <v>0</v>
      </c>
      <c r="AF287" s="26">
        <f>_xlfn.LET(
_xlpm.H,Table1[[#This Row],[Thời hạn mới nhất (Date)]],
_xlpm.D,Table1[[#This Row],[Dự kiến mới nhất (Date)]],
IF(
NOT(ISNUMBER(_xlpm.H)),"Không giao thời hạn",
IF(
NOT(ISNUMBER(_xlpm.D)),"Chưa có dự kiến",
_xlpm.D-_xlpm.H
)))</f>
        <v>61</v>
      </c>
    </row>
    <row r="288" spans="1:32" ht="131.15" x14ac:dyDescent="0.4">
      <c r="A288" s="44">
        <v>46282</v>
      </c>
      <c r="B288" s="4" t="s">
        <v>796</v>
      </c>
      <c r="C288" s="5" t="s">
        <v>688</v>
      </c>
      <c r="D288" s="5">
        <v>49</v>
      </c>
      <c r="E288" s="5" t="str">
        <f>_xlfn.TEXTJOIN("+",TRUE,Table1[[#This Row],[Snapshot]:[ID]])</f>
        <v>46282+DIR-9BD08E185DDB</v>
      </c>
      <c r="F288" s="5"/>
      <c r="G288" s="5" t="s">
        <v>1969</v>
      </c>
      <c r="H288" s="20" t="s">
        <v>1970</v>
      </c>
      <c r="I288" s="5" t="s">
        <v>793</v>
      </c>
      <c r="J288" s="4" t="s">
        <v>689</v>
      </c>
      <c r="K288" s="4" t="str" cm="1">
        <f t="array" ref="K28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88" s="4" t="s">
        <v>688</v>
      </c>
      <c r="M288" s="4" t="s">
        <v>274</v>
      </c>
      <c r="N288" s="4" t="s">
        <v>1696</v>
      </c>
      <c r="O288" s="4" t="s">
        <v>275</v>
      </c>
      <c r="P288" s="6">
        <v>46256</v>
      </c>
      <c r="Q288" s="6">
        <v>46256</v>
      </c>
      <c r="R288" s="5">
        <v>1</v>
      </c>
      <c r="S288" s="5" t="s">
        <v>276</v>
      </c>
      <c r="T288" s="13">
        <v>46326</v>
      </c>
      <c r="U288" s="13">
        <v>46326</v>
      </c>
      <c r="V288" s="5">
        <v>0</v>
      </c>
      <c r="W288" s="22">
        <f>_xlfn.LET(
_xlpm.H,Table1[[#This Row],[Thời hạn mới nhất (Date)]],
_xlpm.S,Table1[[#This Row],[Snapshot]],
IF(
    ISNUMBER(_xlpm.H),
    INT(_xlpm.H)-INT(_xlpm.S),
    "Không giao thời hạn"
))</f>
        <v>44</v>
      </c>
      <c r="X288" s="4"/>
      <c r="Y288" s="5"/>
      <c r="Z288" s="5" t="s">
        <v>35</v>
      </c>
      <c r="AA288" s="5"/>
      <c r="AB288" s="4" t="s">
        <v>182</v>
      </c>
      <c r="AC288" s="6">
        <v>46266</v>
      </c>
      <c r="AD288" s="6">
        <v>46295</v>
      </c>
      <c r="AE288" s="4">
        <v>1</v>
      </c>
      <c r="AF288" s="26">
        <f>_xlfn.LET(
_xlpm.H,Table1[[#This Row],[Thời hạn mới nhất (Date)]],
_xlpm.D,Table1[[#This Row],[Dự kiến mới nhất (Date)]],
IF(
NOT(ISNUMBER(_xlpm.H)),"Không giao thời hạn",
IF(
NOT(ISNUMBER(_xlpm.D)),"Chưa có dự kiến",
_xlpm.D-_xlpm.H
)))</f>
        <v>-31</v>
      </c>
    </row>
    <row r="289" spans="1:32" ht="160.30000000000001" x14ac:dyDescent="0.4">
      <c r="A289" s="44">
        <v>46275</v>
      </c>
      <c r="B289" s="4" t="s">
        <v>796</v>
      </c>
      <c r="C289" s="5" t="s">
        <v>688</v>
      </c>
      <c r="D289" s="5">
        <v>50</v>
      </c>
      <c r="E289" s="5" t="str">
        <f>_xlfn.TEXTJOIN("+",TRUE,Table1[[#This Row],[Snapshot]:[ID]])</f>
        <v>46275+DIR-9BD08E185DDB</v>
      </c>
      <c r="F289" s="5"/>
      <c r="G289" s="5" t="s">
        <v>1971</v>
      </c>
      <c r="H289" s="20" t="s">
        <v>1972</v>
      </c>
      <c r="I289" s="5" t="s">
        <v>797</v>
      </c>
      <c r="J289" s="4" t="s">
        <v>689</v>
      </c>
      <c r="K289" s="4" t="str" cm="1">
        <f t="array" ref="K28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89" s="4" t="s">
        <v>688</v>
      </c>
      <c r="M289" s="4" t="s">
        <v>274</v>
      </c>
      <c r="N289" s="4" t="s">
        <v>1696</v>
      </c>
      <c r="O289" s="4" t="s">
        <v>275</v>
      </c>
      <c r="P289" s="6">
        <v>46256</v>
      </c>
      <c r="Q289" s="6">
        <v>46256</v>
      </c>
      <c r="R289" s="5">
        <v>1</v>
      </c>
      <c r="S289" s="5" t="s">
        <v>276</v>
      </c>
      <c r="T289" s="13">
        <v>46326</v>
      </c>
      <c r="U289" s="13">
        <v>46326</v>
      </c>
      <c r="V289" s="5">
        <v>0</v>
      </c>
      <c r="W289" s="22">
        <f>_xlfn.LET(
_xlpm.H,Table1[[#This Row],[Thời hạn mới nhất (Date)]],
_xlpm.S,Table1[[#This Row],[Snapshot]],
IF(
    ISNUMBER(_xlpm.H),
    INT(_xlpm.H)-INT(_xlpm.S),
    "Không giao thời hạn"
))</f>
        <v>51</v>
      </c>
      <c r="X289" s="4" t="s">
        <v>798</v>
      </c>
      <c r="Y289" s="5"/>
      <c r="Z289" s="5" t="s">
        <v>35</v>
      </c>
      <c r="AA289" s="5"/>
      <c r="AB289" s="4" t="s">
        <v>799</v>
      </c>
      <c r="AC289" s="6">
        <v>46266</v>
      </c>
      <c r="AD289" s="6">
        <v>46266</v>
      </c>
      <c r="AE289" s="4">
        <v>0</v>
      </c>
      <c r="AF289" s="26">
        <f>_xlfn.LET(
_xlpm.H,Table1[[#This Row],[Thời hạn mới nhất (Date)]],
_xlpm.D,Table1[[#This Row],[Dự kiến mới nhất (Date)]],
IF(
NOT(ISNUMBER(_xlpm.H)),"Không giao thời hạn",
IF(
NOT(ISNUMBER(_xlpm.D)),"Chưa có dự kiến",
_xlpm.D-_xlpm.H
)))</f>
        <v>-60</v>
      </c>
    </row>
    <row r="290" spans="1:32" ht="189.45" x14ac:dyDescent="0.4">
      <c r="A290" s="44">
        <v>46282</v>
      </c>
      <c r="B290" s="4" t="s">
        <v>226</v>
      </c>
      <c r="C290" s="5" t="s">
        <v>44</v>
      </c>
      <c r="D290" s="5">
        <v>52</v>
      </c>
      <c r="E290" s="5" t="str">
        <f>_xlfn.TEXTJOIN("+",TRUE,Table1[[#This Row],[Snapshot]:[ID]])</f>
        <v>46282+DIR-9C0409192DB6</v>
      </c>
      <c r="F290" s="5"/>
      <c r="G290" s="20" t="s">
        <v>1252</v>
      </c>
      <c r="H290" s="20" t="s">
        <v>1253</v>
      </c>
      <c r="I290" s="5" t="s">
        <v>45</v>
      </c>
      <c r="J290" s="4" t="s">
        <v>200</v>
      </c>
      <c r="K290" s="4" t="str" cm="1">
        <f t="array" ref="K29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21. Kênh Ngân hàng Số và Trải nghiệm Ứng dụng</v>
      </c>
      <c r="L290" s="4" t="s">
        <v>44</v>
      </c>
      <c r="M290" s="4" t="s">
        <v>227</v>
      </c>
      <c r="N290" s="4" t="s">
        <v>1723</v>
      </c>
      <c r="O290" s="4" t="s">
        <v>228</v>
      </c>
      <c r="P290" s="6">
        <v>45920</v>
      </c>
      <c r="Q290" s="6">
        <v>45920</v>
      </c>
      <c r="R290" s="5">
        <v>1</v>
      </c>
      <c r="S290" s="5" t="s">
        <v>229</v>
      </c>
      <c r="T290" s="13">
        <v>45960</v>
      </c>
      <c r="U290" s="13">
        <v>45960</v>
      </c>
      <c r="V290" s="5">
        <v>0</v>
      </c>
      <c r="W290" s="22">
        <f>_xlfn.LET(
_xlpm.H,Table1[[#This Row],[Thời hạn mới nhất (Date)]],
_xlpm.S,Table1[[#This Row],[Snapshot]],
IF(
    ISNUMBER(_xlpm.H),
    INT(_xlpm.H)-INT(_xlpm.S),
    "Không giao thời hạn"
))</f>
        <v>-322</v>
      </c>
      <c r="X290" s="4" t="s">
        <v>230</v>
      </c>
      <c r="Y290" s="5"/>
      <c r="Z290" s="5"/>
      <c r="AA290" s="5" t="s">
        <v>35</v>
      </c>
      <c r="AB290" s="4" t="s">
        <v>231</v>
      </c>
      <c r="AC290" s="6"/>
      <c r="AD290" s="6"/>
      <c r="AE290" s="4">
        <v>0</v>
      </c>
      <c r="AF290" s="26" t="str">
        <f>_xlfn.LET(
_xlpm.H,Table1[[#This Row],[Thời hạn mới nhất (Date)]],
_xlpm.D,Table1[[#This Row],[Dự kiến mới nhất (Date)]],
IF(
NOT(ISNUMBER(_xlpm.H)),"Không giao thời hạn",
IF(
NOT(ISNUMBER(_xlpm.D)),"Chưa có dự kiến",
_xlpm.D-_xlpm.H
)))</f>
        <v>Chưa có dự kiến</v>
      </c>
    </row>
    <row r="291" spans="1:32" ht="145.75" x14ac:dyDescent="0.4">
      <c r="A291" s="44">
        <v>46275</v>
      </c>
      <c r="B291" s="4" t="s">
        <v>226</v>
      </c>
      <c r="C291" s="5" t="s">
        <v>44</v>
      </c>
      <c r="D291" s="5">
        <v>53</v>
      </c>
      <c r="E291" s="5" t="str">
        <f>_xlfn.TEXTJOIN("+",TRUE,Table1[[#This Row],[Snapshot]:[ID]])</f>
        <v>46275+DIR-9C0409192DB6</v>
      </c>
      <c r="F291" s="5"/>
      <c r="G291" s="20" t="s">
        <v>1254</v>
      </c>
      <c r="H291" s="20" t="s">
        <v>1255</v>
      </c>
      <c r="I291" s="5" t="s">
        <v>45</v>
      </c>
      <c r="J291" s="4" t="s">
        <v>200</v>
      </c>
      <c r="K291" s="4" t="str" cm="1">
        <f t="array" ref="K29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21. Kênh Ngân hàng Số và Trải nghiệm Ứng dụng</v>
      </c>
      <c r="L291" s="4" t="s">
        <v>44</v>
      </c>
      <c r="M291" s="4" t="s">
        <v>227</v>
      </c>
      <c r="N291" s="4" t="s">
        <v>1723</v>
      </c>
      <c r="O291" s="4" t="s">
        <v>228</v>
      </c>
      <c r="P291" s="6">
        <v>45920</v>
      </c>
      <c r="Q291" s="6">
        <v>45920</v>
      </c>
      <c r="R291" s="5">
        <v>1</v>
      </c>
      <c r="S291" s="5" t="s">
        <v>229</v>
      </c>
      <c r="T291" s="13">
        <v>45960</v>
      </c>
      <c r="U291" s="13">
        <v>45960</v>
      </c>
      <c r="V291" s="5">
        <v>0</v>
      </c>
      <c r="W291" s="22">
        <f>_xlfn.LET(
_xlpm.H,Table1[[#This Row],[Thời hạn mới nhất (Date)]],
_xlpm.S,Table1[[#This Row],[Snapshot]],
IF(
    ISNUMBER(_xlpm.H),
    INT(_xlpm.H)-INT(_xlpm.S),
    "Không giao thời hạn"
))</f>
        <v>-315</v>
      </c>
      <c r="X291" s="4" t="s">
        <v>230</v>
      </c>
      <c r="Y291" s="5"/>
      <c r="Z291" s="5"/>
      <c r="AA291" s="5" t="s">
        <v>35</v>
      </c>
      <c r="AB291" s="4" t="s">
        <v>231</v>
      </c>
      <c r="AC291" s="6"/>
      <c r="AD291" s="6"/>
      <c r="AE291" s="4">
        <v>0</v>
      </c>
      <c r="AF291" s="26" t="str">
        <f>_xlfn.LET(
_xlpm.H,Table1[[#This Row],[Thời hạn mới nhất (Date)]],
_xlpm.D,Table1[[#This Row],[Dự kiến mới nhất (Date)]],
IF(
NOT(ISNUMBER(_xlpm.H)),"Không giao thời hạn",
IF(
NOT(ISNUMBER(_xlpm.D)),"Chưa có dự kiến",
_xlpm.D-_xlpm.H
)))</f>
        <v>Chưa có dự kiến</v>
      </c>
    </row>
    <row r="292" spans="1:32" ht="145.75" x14ac:dyDescent="0.4">
      <c r="A292" s="44">
        <v>46282</v>
      </c>
      <c r="B292" s="4" t="s">
        <v>105</v>
      </c>
      <c r="C292" s="5" t="s">
        <v>44</v>
      </c>
      <c r="D292" s="5">
        <v>25</v>
      </c>
      <c r="E292" s="5" t="str">
        <f>_xlfn.TEXTJOIN("+",TRUE,Table1[[#This Row],[Snapshot]:[ID]])</f>
        <v>46282+DIR-9DCB6DF45F8A</v>
      </c>
      <c r="F292" s="5"/>
      <c r="G292" s="5" t="s">
        <v>1446</v>
      </c>
      <c r="H292" s="20" t="s">
        <v>1447</v>
      </c>
      <c r="I292" s="5" t="s">
        <v>106</v>
      </c>
      <c r="J292" s="4" t="s">
        <v>30</v>
      </c>
      <c r="K292" s="4" t="str" cm="1">
        <f t="array" ref="K29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292" s="4" t="s">
        <v>44</v>
      </c>
      <c r="M292" s="4" t="s">
        <v>107</v>
      </c>
      <c r="N292" s="4" t="s">
        <v>1703</v>
      </c>
      <c r="O292" s="4" t="s">
        <v>32</v>
      </c>
      <c r="P292" s="6">
        <v>46242</v>
      </c>
      <c r="Q292" s="6">
        <v>46242</v>
      </c>
      <c r="R292" s="5">
        <v>1</v>
      </c>
      <c r="S292" s="5" t="s">
        <v>108</v>
      </c>
      <c r="T292" s="13">
        <v>46257</v>
      </c>
      <c r="U292" s="13">
        <v>46257</v>
      </c>
      <c r="V292" s="5">
        <v>0</v>
      </c>
      <c r="W292" s="22">
        <f>_xlfn.LET(
_xlpm.H,Table1[[#This Row],[Thời hạn mới nhất (Date)]],
_xlpm.S,Table1[[#This Row],[Snapshot]],
IF(
    ISNUMBER(_xlpm.H),
    INT(_xlpm.H)-INT(_xlpm.S),
    "Không giao thời hạn"
))</f>
        <v>-25</v>
      </c>
      <c r="X292" s="4" t="s">
        <v>109</v>
      </c>
      <c r="Y292" s="5"/>
      <c r="Z292" s="5" t="s">
        <v>35</v>
      </c>
      <c r="AA292" s="5"/>
      <c r="AB292" s="4"/>
      <c r="AC292" s="6"/>
      <c r="AD292" s="6"/>
      <c r="AE292" s="4">
        <v>0</v>
      </c>
      <c r="AF292" s="26" t="str">
        <f>_xlfn.LET(
_xlpm.H,Table1[[#This Row],[Thời hạn mới nhất (Date)]],
_xlpm.D,Table1[[#This Row],[Dự kiến mới nhất (Date)]],
IF(
NOT(ISNUMBER(_xlpm.H)),"Không giao thời hạn",
IF(
NOT(ISNUMBER(_xlpm.D)),"Chưa có dự kiến",
_xlpm.D-_xlpm.H
)))</f>
        <v>Chưa có dự kiến</v>
      </c>
    </row>
    <row r="293" spans="1:32" ht="87.45" x14ac:dyDescent="0.4">
      <c r="A293" s="44">
        <v>46275</v>
      </c>
      <c r="B293" s="4" t="s">
        <v>105</v>
      </c>
      <c r="C293" s="5" t="s">
        <v>44</v>
      </c>
      <c r="D293" s="5">
        <v>25</v>
      </c>
      <c r="E293" s="5" t="str">
        <f>_xlfn.TEXTJOIN("+",TRUE,Table1[[#This Row],[Snapshot]:[ID]])</f>
        <v>46275+DIR-9DCB6DF45F8A</v>
      </c>
      <c r="F293" s="5"/>
      <c r="G293" s="5" t="s">
        <v>1448</v>
      </c>
      <c r="H293" s="20" t="s">
        <v>1449</v>
      </c>
      <c r="I293" s="5" t="s">
        <v>106</v>
      </c>
      <c r="J293" s="4" t="s">
        <v>30</v>
      </c>
      <c r="K293" s="4" t="str" cm="1">
        <f t="array" ref="K29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293" s="4" t="s">
        <v>44</v>
      </c>
      <c r="M293" s="4" t="s">
        <v>107</v>
      </c>
      <c r="N293" s="4" t="s">
        <v>1703</v>
      </c>
      <c r="O293" s="4" t="s">
        <v>32</v>
      </c>
      <c r="P293" s="6">
        <v>46242</v>
      </c>
      <c r="Q293" s="6">
        <v>46242</v>
      </c>
      <c r="R293" s="5">
        <v>1</v>
      </c>
      <c r="S293" s="5" t="s">
        <v>108</v>
      </c>
      <c r="T293" s="13">
        <v>46257</v>
      </c>
      <c r="U293" s="13">
        <v>46257</v>
      </c>
      <c r="V293" s="5">
        <v>0</v>
      </c>
      <c r="W293" s="22">
        <f>_xlfn.LET(
_xlpm.H,Table1[[#This Row],[Thời hạn mới nhất (Date)]],
_xlpm.S,Table1[[#This Row],[Snapshot]],
IF(
    ISNUMBER(_xlpm.H),
    INT(_xlpm.H)-INT(_xlpm.S),
    "Không giao thời hạn"
))</f>
        <v>-18</v>
      </c>
      <c r="X293" s="4" t="s">
        <v>109</v>
      </c>
      <c r="Y293" s="5"/>
      <c r="Z293" s="5" t="s">
        <v>35</v>
      </c>
      <c r="AA293" s="5"/>
      <c r="AB293" s="4"/>
      <c r="AC293" s="6"/>
      <c r="AD293" s="6"/>
      <c r="AE293" s="4">
        <v>0</v>
      </c>
      <c r="AF293" s="26" t="str">
        <f>_xlfn.LET(
_xlpm.H,Table1[[#This Row],[Thời hạn mới nhất (Date)]],
_xlpm.D,Table1[[#This Row],[Dự kiến mới nhất (Date)]],
IF(
NOT(ISNUMBER(_xlpm.H)),"Không giao thời hạn",
IF(
NOT(ISNUMBER(_xlpm.D)),"Chưa có dự kiến",
_xlpm.D-_xlpm.H
)))</f>
        <v>Chưa có dự kiến</v>
      </c>
    </row>
    <row r="294" spans="1:32" ht="145.75" x14ac:dyDescent="0.4">
      <c r="A294" s="44">
        <v>46282</v>
      </c>
      <c r="B294" s="4" t="s">
        <v>512</v>
      </c>
      <c r="C294" s="5" t="s">
        <v>469</v>
      </c>
      <c r="D294" s="5">
        <v>23</v>
      </c>
      <c r="E294" s="5" t="str">
        <f>_xlfn.TEXTJOIN("+",TRUE,Table1[[#This Row],[Snapshot]:[ID]])</f>
        <v>46282+DIR-9E81E3D42572</v>
      </c>
      <c r="F294" s="5"/>
      <c r="G294" s="5" t="s">
        <v>1491</v>
      </c>
      <c r="H294" s="20" t="s">
        <v>1492</v>
      </c>
      <c r="I294" s="5" t="s">
        <v>93</v>
      </c>
      <c r="J294" s="4" t="s">
        <v>30</v>
      </c>
      <c r="K294" s="4" t="str" cm="1">
        <f t="array" ref="K29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294" s="4" t="s">
        <v>469</v>
      </c>
      <c r="M294" s="4" t="s">
        <v>513</v>
      </c>
      <c r="N294" s="4" t="s">
        <v>1713</v>
      </c>
      <c r="O294" s="4" t="s">
        <v>181</v>
      </c>
      <c r="P294" s="6">
        <v>46270</v>
      </c>
      <c r="Q294" s="6">
        <v>46270</v>
      </c>
      <c r="R294" s="5">
        <v>1</v>
      </c>
      <c r="S294" s="5" t="s">
        <v>514</v>
      </c>
      <c r="T294" s="13">
        <v>46275</v>
      </c>
      <c r="U294" s="13">
        <v>46275</v>
      </c>
      <c r="V294" s="5">
        <v>0</v>
      </c>
      <c r="W294" s="22">
        <f>_xlfn.LET(
_xlpm.H,Table1[[#This Row],[Thời hạn mới nhất (Date)]],
_xlpm.S,Table1[[#This Row],[Snapshot]],
IF(
    ISNUMBER(_xlpm.H),
    INT(_xlpm.H)-INT(_xlpm.S),
    "Không giao thời hạn"
))</f>
        <v>-7</v>
      </c>
      <c r="X294" s="4" t="s">
        <v>515</v>
      </c>
      <c r="Y294" s="5"/>
      <c r="Z294" s="5" t="s">
        <v>35</v>
      </c>
      <c r="AA294" s="5"/>
      <c r="AB294" s="4" t="s">
        <v>508</v>
      </c>
      <c r="AC294" s="6"/>
      <c r="AD294" s="6"/>
      <c r="AE294" s="4">
        <v>0</v>
      </c>
      <c r="AF294" s="26" t="str">
        <f>_xlfn.LET(
_xlpm.H,Table1[[#This Row],[Thời hạn mới nhất (Date)]],
_xlpm.D,Table1[[#This Row],[Dự kiến mới nhất (Date)]],
IF(
NOT(ISNUMBER(_xlpm.H)),"Không giao thời hạn",
IF(
NOT(ISNUMBER(_xlpm.D)),"Chưa có dự kiến",
_xlpm.D-_xlpm.H
)))</f>
        <v>Chưa có dự kiến</v>
      </c>
    </row>
    <row r="295" spans="1:32" ht="145.75" x14ac:dyDescent="0.4">
      <c r="A295" s="44">
        <v>46275</v>
      </c>
      <c r="B295" s="4" t="s">
        <v>512</v>
      </c>
      <c r="C295" s="5" t="s">
        <v>469</v>
      </c>
      <c r="D295" s="5">
        <v>24</v>
      </c>
      <c r="E295" s="5" t="str">
        <f>_xlfn.TEXTJOIN("+",TRUE,Table1[[#This Row],[Snapshot]:[ID]])</f>
        <v>46275+DIR-9E81E3D42572</v>
      </c>
      <c r="F295" s="5"/>
      <c r="G295" s="5" t="s">
        <v>1342</v>
      </c>
      <c r="H295" s="20" t="s">
        <v>1343</v>
      </c>
      <c r="I295" s="5" t="s">
        <v>97</v>
      </c>
      <c r="J295" s="4" t="s">
        <v>30</v>
      </c>
      <c r="K295" s="4" t="str" cm="1">
        <f t="array" ref="K29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295" s="4" t="s">
        <v>469</v>
      </c>
      <c r="M295" s="4" t="s">
        <v>513</v>
      </c>
      <c r="N295" s="4" t="s">
        <v>1713</v>
      </c>
      <c r="O295" s="4" t="s">
        <v>181</v>
      </c>
      <c r="P295" s="6">
        <v>46270</v>
      </c>
      <c r="Q295" s="6">
        <v>46270</v>
      </c>
      <c r="R295" s="5">
        <v>1</v>
      </c>
      <c r="S295" s="5" t="s">
        <v>514</v>
      </c>
      <c r="T295" s="13">
        <v>46275</v>
      </c>
      <c r="U295" s="13">
        <v>46275</v>
      </c>
      <c r="V295" s="5">
        <v>0</v>
      </c>
      <c r="W295" s="22">
        <f>_xlfn.LET(
_xlpm.H,Table1[[#This Row],[Thời hạn mới nhất (Date)]],
_xlpm.S,Table1[[#This Row],[Snapshot]],
IF(
    ISNUMBER(_xlpm.H),
    INT(_xlpm.H)-INT(_xlpm.S),
    "Không giao thời hạn"
))</f>
        <v>0</v>
      </c>
      <c r="X295" s="4" t="s">
        <v>515</v>
      </c>
      <c r="Y295" s="5"/>
      <c r="Z295" s="5" t="s">
        <v>194</v>
      </c>
      <c r="AA295" s="5"/>
      <c r="AB295" s="4" t="s">
        <v>508</v>
      </c>
      <c r="AC295" s="6"/>
      <c r="AD295" s="6"/>
      <c r="AE295" s="4">
        <v>0</v>
      </c>
      <c r="AF295" s="26" t="str">
        <f>_xlfn.LET(
_xlpm.H,Table1[[#This Row],[Thời hạn mới nhất (Date)]],
_xlpm.D,Table1[[#This Row],[Dự kiến mới nhất (Date)]],
IF(
NOT(ISNUMBER(_xlpm.H)),"Không giao thời hạn",
IF(
NOT(ISNUMBER(_xlpm.D)),"Chưa có dự kiến",
_xlpm.D-_xlpm.H
)))</f>
        <v>Chưa có dự kiến</v>
      </c>
    </row>
    <row r="296" spans="1:32" ht="160.30000000000001" x14ac:dyDescent="0.4">
      <c r="A296" s="44">
        <v>46275</v>
      </c>
      <c r="B296" s="4" t="s">
        <v>433</v>
      </c>
      <c r="C296" s="5" t="s">
        <v>352</v>
      </c>
      <c r="D296" s="5">
        <v>34</v>
      </c>
      <c r="E296" s="5" t="str">
        <f>_xlfn.TEXTJOIN("+",TRUE,Table1[[#This Row],[Snapshot]:[ID]])</f>
        <v>46275+DIR-9F4A986A3250</v>
      </c>
      <c r="F296" s="5"/>
      <c r="G296" s="5" t="s">
        <v>1973</v>
      </c>
      <c r="H296" s="20" t="s">
        <v>1974</v>
      </c>
      <c r="I296" s="5" t="s">
        <v>152</v>
      </c>
      <c r="J296" s="4" t="s">
        <v>30</v>
      </c>
      <c r="K296" s="4" t="str" cm="1">
        <f t="array" ref="K29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18. Quy trình Phát triển và Ra mắt Sản phẩm</v>
      </c>
      <c r="L296" s="4" t="s">
        <v>352</v>
      </c>
      <c r="M296" s="4" t="s">
        <v>434</v>
      </c>
      <c r="N296" s="4" t="s">
        <v>1702</v>
      </c>
      <c r="O296" s="4" t="s">
        <v>181</v>
      </c>
      <c r="P296" s="13">
        <v>46270</v>
      </c>
      <c r="Q296" s="13">
        <v>46270</v>
      </c>
      <c r="R296" s="5">
        <v>1</v>
      </c>
      <c r="S296" s="5"/>
      <c r="T296" s="13"/>
      <c r="U296" s="13"/>
      <c r="V296" s="5">
        <v>0</v>
      </c>
      <c r="W296" s="22" t="str">
        <f>_xlfn.LET(
_xlpm.H,Table1[[#This Row],[Thời hạn mới nhất (Date)]],
_xlpm.S,Table1[[#This Row],[Snapshot]],
IF(
    ISNUMBER(_xlpm.H),
    INT(_xlpm.H)-INT(_xlpm.S),
    "Không giao thời hạn"
))</f>
        <v>Không giao thời hạn</v>
      </c>
      <c r="X296" s="4" t="s">
        <v>435</v>
      </c>
      <c r="Y296" s="5" t="s">
        <v>194</v>
      </c>
      <c r="Z296" s="5"/>
      <c r="AA296" s="5"/>
      <c r="AB296" s="4"/>
      <c r="AC296" s="6"/>
      <c r="AD296" s="6"/>
      <c r="AE296" s="4">
        <v>0</v>
      </c>
      <c r="AF296" s="26" t="str">
        <f>_xlfn.LET(
_xlpm.H,Table1[[#This Row],[Thời hạn mới nhất (Date)]],
_xlpm.D,Table1[[#This Row],[Dự kiến mới nhất (Date)]],
IF(
NOT(ISNUMBER(_xlpm.H)),"Không giao thời hạn",
IF(
NOT(ISNUMBER(_xlpm.D)),"Chưa có dự kiến",
_xlpm.D-_xlpm.H
)))</f>
        <v>Không giao thời hạn</v>
      </c>
    </row>
    <row r="297" spans="1:32" ht="218.6" x14ac:dyDescent="0.4">
      <c r="A297" s="44">
        <v>46275</v>
      </c>
      <c r="B297" s="4" t="s">
        <v>811</v>
      </c>
      <c r="C297" s="5" t="s">
        <v>688</v>
      </c>
      <c r="D297" s="5">
        <v>54</v>
      </c>
      <c r="E297" s="5" t="str">
        <f>_xlfn.TEXTJOIN("+",TRUE,Table1[[#This Row],[Snapshot]:[ID]])</f>
        <v>46275+DIR-A2AD4B409AD1</v>
      </c>
      <c r="F297" s="5"/>
      <c r="G297" s="5" t="s">
        <v>1975</v>
      </c>
      <c r="H297" s="20" t="s">
        <v>1976</v>
      </c>
      <c r="I297" s="5" t="s">
        <v>812</v>
      </c>
      <c r="J297" s="4" t="s">
        <v>689</v>
      </c>
      <c r="K297" s="4" t="str" cm="1">
        <f t="array" ref="K29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297" s="4" t="s">
        <v>688</v>
      </c>
      <c r="M297" s="4" t="s">
        <v>186</v>
      </c>
      <c r="N297" s="4" t="s">
        <v>1696</v>
      </c>
      <c r="O297" s="4" t="s">
        <v>181</v>
      </c>
      <c r="P297" s="6">
        <v>46270</v>
      </c>
      <c r="Q297" s="6">
        <v>46270</v>
      </c>
      <c r="R297" s="5">
        <v>1</v>
      </c>
      <c r="S297" s="5"/>
      <c r="T297" s="13"/>
      <c r="U297" s="13"/>
      <c r="V297" s="5">
        <v>0</v>
      </c>
      <c r="W297" s="22" t="str">
        <f>_xlfn.LET(
_xlpm.H,Table1[[#This Row],[Thời hạn mới nhất (Date)]],
_xlpm.S,Table1[[#This Row],[Snapshot]],
IF(
    ISNUMBER(_xlpm.H),
    INT(_xlpm.H)-INT(_xlpm.S),
    "Không giao thời hạn"
))</f>
        <v>Không giao thời hạn</v>
      </c>
      <c r="X297" s="4" t="s">
        <v>813</v>
      </c>
      <c r="Y297" s="5"/>
      <c r="Z297" s="5" t="s">
        <v>194</v>
      </c>
      <c r="AA297" s="5"/>
      <c r="AB297" s="4"/>
      <c r="AC297" s="6"/>
      <c r="AD297" s="6"/>
      <c r="AE297" s="4">
        <v>0</v>
      </c>
      <c r="AF297" s="26" t="str">
        <f>_xlfn.LET(
_xlpm.H,Table1[[#This Row],[Thời hạn mới nhất (Date)]],
_xlpm.D,Table1[[#This Row],[Dự kiến mới nhất (Date)]],
IF(
NOT(ISNUMBER(_xlpm.H)),"Không giao thời hạn",
IF(
NOT(ISNUMBER(_xlpm.D)),"Chưa có dự kiến",
_xlpm.D-_xlpm.H
)))</f>
        <v>Không giao thời hạn</v>
      </c>
    </row>
    <row r="298" spans="1:32" ht="131.15" x14ac:dyDescent="0.4">
      <c r="A298" s="44">
        <v>46282</v>
      </c>
      <c r="B298" s="4" t="s">
        <v>599</v>
      </c>
      <c r="C298" s="5" t="s">
        <v>570</v>
      </c>
      <c r="D298" s="5">
        <v>24</v>
      </c>
      <c r="E298" s="5" t="str">
        <f>_xlfn.TEXTJOIN("+",TRUE,Table1[[#This Row],[Snapshot]:[ID]])</f>
        <v>46282+DIR-A2C9A4282BE4</v>
      </c>
      <c r="F298" s="5"/>
      <c r="G298" s="5" t="s">
        <v>1344</v>
      </c>
      <c r="H298" s="20" t="s">
        <v>1345</v>
      </c>
      <c r="I298" s="5" t="s">
        <v>45</v>
      </c>
      <c r="J298" s="4" t="s">
        <v>200</v>
      </c>
      <c r="K298" s="4" t="str" cm="1">
        <f t="array" ref="K29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298" s="4" t="s">
        <v>570</v>
      </c>
      <c r="M298" s="4" t="s">
        <v>600</v>
      </c>
      <c r="N298" s="4" t="s">
        <v>1697</v>
      </c>
      <c r="O298" s="4" t="s">
        <v>143</v>
      </c>
      <c r="P298" s="6">
        <v>46186</v>
      </c>
      <c r="Q298" s="6">
        <v>46186</v>
      </c>
      <c r="R298" s="5">
        <v>1</v>
      </c>
      <c r="S298" s="5"/>
      <c r="T298" s="13"/>
      <c r="U298" s="13"/>
      <c r="V298" s="5">
        <v>0</v>
      </c>
      <c r="W298" s="22" t="str">
        <f>_xlfn.LET(
_xlpm.H,Table1[[#This Row],[Thời hạn mới nhất (Date)]],
_xlpm.S,Table1[[#This Row],[Snapshot]],
IF(
    ISNUMBER(_xlpm.H),
    INT(_xlpm.H)-INT(_xlpm.S),
    "Không giao thời hạn"
))</f>
        <v>Không giao thời hạn</v>
      </c>
      <c r="X298" s="4" t="s">
        <v>960</v>
      </c>
      <c r="Y298" s="5"/>
      <c r="Z298" s="5" t="s">
        <v>35</v>
      </c>
      <c r="AA298" s="5"/>
      <c r="AB298" s="4"/>
      <c r="AC298" s="6"/>
      <c r="AD298" s="6"/>
      <c r="AE298" s="4">
        <v>0</v>
      </c>
      <c r="AF298" s="26" t="str">
        <f>_xlfn.LET(
_xlpm.H,Table1[[#This Row],[Thời hạn mới nhất (Date)]],
_xlpm.D,Table1[[#This Row],[Dự kiến mới nhất (Date)]],
IF(
NOT(ISNUMBER(_xlpm.H)),"Không giao thời hạn",
IF(
NOT(ISNUMBER(_xlpm.D)),"Chưa có dự kiến",
_xlpm.D-_xlpm.H
)))</f>
        <v>Không giao thời hạn</v>
      </c>
    </row>
    <row r="299" spans="1:32" ht="87.45" x14ac:dyDescent="0.4">
      <c r="A299" s="44">
        <v>46275</v>
      </c>
      <c r="B299" s="4" t="s">
        <v>599</v>
      </c>
      <c r="C299" s="5" t="s">
        <v>570</v>
      </c>
      <c r="D299" s="5">
        <v>24</v>
      </c>
      <c r="E299" s="5" t="str">
        <f>_xlfn.TEXTJOIN("+",TRUE,Table1[[#This Row],[Snapshot]:[ID]])</f>
        <v>46275+DIR-A2C9A4282BE4</v>
      </c>
      <c r="F299" s="5"/>
      <c r="G299" s="5" t="s">
        <v>1346</v>
      </c>
      <c r="H299" s="20" t="s">
        <v>1347</v>
      </c>
      <c r="I299" s="5" t="s">
        <v>45</v>
      </c>
      <c r="J299" s="4" t="s">
        <v>200</v>
      </c>
      <c r="K299" s="4" t="str" cm="1">
        <f t="array" ref="K29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299" s="4" t="s">
        <v>570</v>
      </c>
      <c r="M299" s="4" t="s">
        <v>600</v>
      </c>
      <c r="N299" s="4" t="s">
        <v>1697</v>
      </c>
      <c r="O299" s="4" t="s">
        <v>143</v>
      </c>
      <c r="P299" s="6">
        <v>46186</v>
      </c>
      <c r="Q299" s="6">
        <v>46186</v>
      </c>
      <c r="R299" s="5">
        <v>1</v>
      </c>
      <c r="S299" s="5"/>
      <c r="T299" s="13"/>
      <c r="U299" s="13"/>
      <c r="V299" s="5">
        <v>0</v>
      </c>
      <c r="W299" s="22" t="str">
        <f>_xlfn.LET(
_xlpm.H,Table1[[#This Row],[Thời hạn mới nhất (Date)]],
_xlpm.S,Table1[[#This Row],[Snapshot]],
IF(
    ISNUMBER(_xlpm.H),
    INT(_xlpm.H)-INT(_xlpm.S),
    "Không giao thời hạn"
))</f>
        <v>Không giao thời hạn</v>
      </c>
      <c r="X299" s="4" t="s">
        <v>601</v>
      </c>
      <c r="Y299" s="5"/>
      <c r="Z299" s="5" t="s">
        <v>35</v>
      </c>
      <c r="AA299" s="5"/>
      <c r="AB299" s="4"/>
      <c r="AC299" s="6"/>
      <c r="AD299" s="6"/>
      <c r="AE299" s="4">
        <v>0</v>
      </c>
      <c r="AF299" s="26" t="str">
        <f>_xlfn.LET(
_xlpm.H,Table1[[#This Row],[Thời hạn mới nhất (Date)]],
_xlpm.D,Table1[[#This Row],[Dự kiến mới nhất (Date)]],
IF(
NOT(ISNUMBER(_xlpm.H)),"Không giao thời hạn",
IF(
NOT(ISNUMBER(_xlpm.D)),"Chưa có dự kiến",
_xlpm.D-_xlpm.H
)))</f>
        <v>Không giao thời hạn</v>
      </c>
    </row>
    <row r="300" spans="1:32" ht="131.15" x14ac:dyDescent="0.4">
      <c r="A300" s="44">
        <v>46282</v>
      </c>
      <c r="B300" s="4" t="s">
        <v>782</v>
      </c>
      <c r="C300" s="5" t="s">
        <v>688</v>
      </c>
      <c r="D300" s="5">
        <v>45</v>
      </c>
      <c r="E300" s="5" t="str">
        <f>_xlfn.TEXTJOIN("+",TRUE,Table1[[#This Row],[Snapshot]:[ID]])</f>
        <v>46282+DIR-A2D9FBDABDA3</v>
      </c>
      <c r="F300" s="5"/>
      <c r="G300" s="5" t="s">
        <v>1977</v>
      </c>
      <c r="H300" s="20" t="s">
        <v>1978</v>
      </c>
      <c r="I300" s="5" t="s">
        <v>779</v>
      </c>
      <c r="J300" s="4" t="s">
        <v>689</v>
      </c>
      <c r="K300" s="4" t="str" cm="1">
        <f t="array" ref="K30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300" s="4" t="s">
        <v>688</v>
      </c>
      <c r="M300" s="4" t="s">
        <v>784</v>
      </c>
      <c r="N300" s="4" t="s">
        <v>1696</v>
      </c>
      <c r="O300" s="4" t="s">
        <v>275</v>
      </c>
      <c r="P300" s="6">
        <v>46256</v>
      </c>
      <c r="Q300" s="6">
        <v>46256</v>
      </c>
      <c r="R300" s="5">
        <v>1</v>
      </c>
      <c r="S300" s="5" t="s">
        <v>182</v>
      </c>
      <c r="T300" s="13">
        <v>46295</v>
      </c>
      <c r="U300" s="13">
        <v>46295</v>
      </c>
      <c r="V300" s="5">
        <v>0</v>
      </c>
      <c r="W300" s="22">
        <f>_xlfn.LET(
_xlpm.H,Table1[[#This Row],[Thời hạn mới nhất (Date)]],
_xlpm.S,Table1[[#This Row],[Snapshot]],
IF(
    ISNUMBER(_xlpm.H),
    INT(_xlpm.H)-INT(_xlpm.S),
    "Không giao thời hạn"
))</f>
        <v>13</v>
      </c>
      <c r="X300" s="4"/>
      <c r="Y300" s="5"/>
      <c r="Z300" s="5" t="s">
        <v>35</v>
      </c>
      <c r="AA300" s="5"/>
      <c r="AB300" s="4" t="s">
        <v>725</v>
      </c>
      <c r="AC300" s="6">
        <v>46295</v>
      </c>
      <c r="AD300" s="6">
        <v>46295</v>
      </c>
      <c r="AE300" s="4">
        <v>0</v>
      </c>
      <c r="AF300" s="26">
        <f>_xlfn.LET(
_xlpm.H,Table1[[#This Row],[Thời hạn mới nhất (Date)]],
_xlpm.D,Table1[[#This Row],[Dự kiến mới nhất (Date)]],
IF(
NOT(ISNUMBER(_xlpm.H)),"Không giao thời hạn",
IF(
NOT(ISNUMBER(_xlpm.D)),"Chưa có dự kiến",
_xlpm.D-_xlpm.H
)))</f>
        <v>0</v>
      </c>
    </row>
    <row r="301" spans="1:32" ht="145.75" x14ac:dyDescent="0.4">
      <c r="A301" s="44">
        <v>46275</v>
      </c>
      <c r="B301" s="4" t="s">
        <v>782</v>
      </c>
      <c r="C301" s="5" t="s">
        <v>688</v>
      </c>
      <c r="D301" s="5">
        <v>46</v>
      </c>
      <c r="E301" s="5" t="str">
        <f>_xlfn.TEXTJOIN("+",TRUE,Table1[[#This Row],[Snapshot]:[ID]])</f>
        <v>46275+DIR-A2D9FBDABDA3</v>
      </c>
      <c r="F301" s="5"/>
      <c r="G301" s="5" t="s">
        <v>1979</v>
      </c>
      <c r="H301" s="20" t="s">
        <v>1980</v>
      </c>
      <c r="I301" s="5" t="s">
        <v>783</v>
      </c>
      <c r="J301" s="4" t="s">
        <v>689</v>
      </c>
      <c r="K301" s="4" t="str" cm="1">
        <f t="array" ref="K30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301" s="4" t="s">
        <v>688</v>
      </c>
      <c r="M301" s="4" t="s">
        <v>784</v>
      </c>
      <c r="N301" s="4" t="s">
        <v>1696</v>
      </c>
      <c r="O301" s="4" t="s">
        <v>275</v>
      </c>
      <c r="P301" s="6">
        <v>46256</v>
      </c>
      <c r="Q301" s="6">
        <v>46256</v>
      </c>
      <c r="R301" s="5">
        <v>1</v>
      </c>
      <c r="S301" s="5" t="s">
        <v>182</v>
      </c>
      <c r="T301" s="13">
        <v>46295</v>
      </c>
      <c r="U301" s="13">
        <v>46295</v>
      </c>
      <c r="V301" s="5">
        <v>0</v>
      </c>
      <c r="W301" s="22">
        <f>_xlfn.LET(
_xlpm.H,Table1[[#This Row],[Thời hạn mới nhất (Date)]],
_xlpm.S,Table1[[#This Row],[Snapshot]],
IF(
    ISNUMBER(_xlpm.H),
    INT(_xlpm.H)-INT(_xlpm.S),
    "Không giao thời hạn"
))</f>
        <v>20</v>
      </c>
      <c r="X301" s="4" t="s">
        <v>785</v>
      </c>
      <c r="Y301" s="5"/>
      <c r="Z301" s="5" t="s">
        <v>35</v>
      </c>
      <c r="AA301" s="5"/>
      <c r="AB301" s="4" t="s">
        <v>781</v>
      </c>
      <c r="AC301" s="6">
        <v>46295</v>
      </c>
      <c r="AD301" s="6">
        <v>46295</v>
      </c>
      <c r="AE301" s="4">
        <v>0</v>
      </c>
      <c r="AF301" s="26">
        <f>_xlfn.LET(
_xlpm.H,Table1[[#This Row],[Thời hạn mới nhất (Date)]],
_xlpm.D,Table1[[#This Row],[Dự kiến mới nhất (Date)]],
IF(
NOT(ISNUMBER(_xlpm.H)),"Không giao thời hạn",
IF(
NOT(ISNUMBER(_xlpm.D)),"Chưa có dự kiến",
_xlpm.D-_xlpm.H
)))</f>
        <v>0</v>
      </c>
    </row>
    <row r="302" spans="1:32" ht="131.15" x14ac:dyDescent="0.4">
      <c r="A302" s="44">
        <v>46282</v>
      </c>
      <c r="B302" s="4" t="s">
        <v>428</v>
      </c>
      <c r="C302" s="5" t="s">
        <v>352</v>
      </c>
      <c r="D302" s="5">
        <v>32</v>
      </c>
      <c r="E302" s="5" t="str">
        <f>_xlfn.TEXTJOIN("+",TRUE,Table1[[#This Row],[Snapshot]:[ID]])</f>
        <v>46282+DIR-A30323198EBC</v>
      </c>
      <c r="F302" s="5"/>
      <c r="G302" s="5" t="s">
        <v>1981</v>
      </c>
      <c r="H302" s="20" t="s">
        <v>1982</v>
      </c>
      <c r="I302" s="5" t="s">
        <v>141</v>
      </c>
      <c r="J302" s="4" t="s">
        <v>30</v>
      </c>
      <c r="K302" s="4" t="str" cm="1">
        <f t="array" ref="K30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17. Đào tạo và Phát triển Năng lực CBNV</v>
      </c>
      <c r="L302" s="4" t="s">
        <v>352</v>
      </c>
      <c r="M302" s="4" t="s">
        <v>429</v>
      </c>
      <c r="N302" s="4" t="s">
        <v>1702</v>
      </c>
      <c r="O302" s="4" t="s">
        <v>430</v>
      </c>
      <c r="P302" s="6">
        <v>46165</v>
      </c>
      <c r="Q302" s="6">
        <v>46165</v>
      </c>
      <c r="R302" s="5">
        <v>1</v>
      </c>
      <c r="S302" s="5" t="s">
        <v>431</v>
      </c>
      <c r="T302" s="13">
        <v>46203</v>
      </c>
      <c r="U302" s="13">
        <v>46203</v>
      </c>
      <c r="V302" s="5">
        <v>0</v>
      </c>
      <c r="W302" s="22">
        <f>_xlfn.LET(
_xlpm.H,Table1[[#This Row],[Thời hạn mới nhất (Date)]],
_xlpm.S,Table1[[#This Row],[Snapshot]],
IF(
    ISNUMBER(_xlpm.H),
    INT(_xlpm.H)-INT(_xlpm.S),
    "Không giao thời hạn"
))</f>
        <v>-79</v>
      </c>
      <c r="X302" s="4" t="s">
        <v>432</v>
      </c>
      <c r="Y302" s="5"/>
      <c r="Z302" s="5" t="s">
        <v>35</v>
      </c>
      <c r="AA302" s="5"/>
      <c r="AB302" s="4"/>
      <c r="AC302" s="6"/>
      <c r="AD302" s="6"/>
      <c r="AE302" s="4">
        <v>0</v>
      </c>
      <c r="AF302" s="26" t="str">
        <f>_xlfn.LET(
_xlpm.H,Table1[[#This Row],[Thời hạn mới nhất (Date)]],
_xlpm.D,Table1[[#This Row],[Dự kiến mới nhất (Date)]],
IF(
NOT(ISNUMBER(_xlpm.H)),"Không giao thời hạn",
IF(
NOT(ISNUMBER(_xlpm.D)),"Chưa có dự kiến",
_xlpm.D-_xlpm.H
)))</f>
        <v>Chưa có dự kiến</v>
      </c>
    </row>
    <row r="303" spans="1:32" ht="145.75" x14ac:dyDescent="0.4">
      <c r="A303" s="44">
        <v>46275</v>
      </c>
      <c r="B303" s="4" t="s">
        <v>428</v>
      </c>
      <c r="C303" s="5" t="s">
        <v>352</v>
      </c>
      <c r="D303" s="5">
        <v>33</v>
      </c>
      <c r="E303" s="5" t="str">
        <f>_xlfn.TEXTJOIN("+",TRUE,Table1[[#This Row],[Snapshot]:[ID]])</f>
        <v>46275+DIR-A30323198EBC</v>
      </c>
      <c r="F303" s="5"/>
      <c r="G303" s="5" t="s">
        <v>1983</v>
      </c>
      <c r="H303" s="20" t="s">
        <v>1984</v>
      </c>
      <c r="I303" s="5" t="s">
        <v>147</v>
      </c>
      <c r="J303" s="4" t="s">
        <v>30</v>
      </c>
      <c r="K303" s="4" t="str" cm="1">
        <f t="array" ref="K30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17. Đào tạo và Phát triển Năng lực CBNV</v>
      </c>
      <c r="L303" s="4" t="s">
        <v>352</v>
      </c>
      <c r="M303" s="4" t="s">
        <v>429</v>
      </c>
      <c r="N303" s="4" t="s">
        <v>1702</v>
      </c>
      <c r="O303" s="4" t="s">
        <v>430</v>
      </c>
      <c r="P303" s="6">
        <v>46165</v>
      </c>
      <c r="Q303" s="6">
        <v>46165</v>
      </c>
      <c r="R303" s="5">
        <v>1</v>
      </c>
      <c r="S303" s="5" t="s">
        <v>431</v>
      </c>
      <c r="T303" s="13">
        <v>46203</v>
      </c>
      <c r="U303" s="13">
        <v>46203</v>
      </c>
      <c r="V303" s="5">
        <v>0</v>
      </c>
      <c r="W303" s="22">
        <f>_xlfn.LET(
_xlpm.H,Table1[[#This Row],[Thời hạn mới nhất (Date)]],
_xlpm.S,Table1[[#This Row],[Snapshot]],
IF(
    ISNUMBER(_xlpm.H),
    INT(_xlpm.H)-INT(_xlpm.S),
    "Không giao thời hạn"
))</f>
        <v>-72</v>
      </c>
      <c r="X303" s="4" t="s">
        <v>432</v>
      </c>
      <c r="Y303" s="5"/>
      <c r="Z303" s="5" t="s">
        <v>35</v>
      </c>
      <c r="AA303" s="5"/>
      <c r="AB303" s="4"/>
      <c r="AC303" s="6"/>
      <c r="AD303" s="6"/>
      <c r="AE303" s="4">
        <v>0</v>
      </c>
      <c r="AF303" s="26" t="str">
        <f>_xlfn.LET(
_xlpm.H,Table1[[#This Row],[Thời hạn mới nhất (Date)]],
_xlpm.D,Table1[[#This Row],[Dự kiến mới nhất (Date)]],
IF(
NOT(ISNUMBER(_xlpm.H)),"Không giao thời hạn",
IF(
NOT(ISNUMBER(_xlpm.D)),"Chưa có dự kiến",
_xlpm.D-_xlpm.H
)))</f>
        <v>Chưa có dự kiến</v>
      </c>
    </row>
    <row r="304" spans="1:32" ht="116.6" x14ac:dyDescent="0.4">
      <c r="A304" s="44">
        <v>46282</v>
      </c>
      <c r="B304" s="4" t="s">
        <v>1004</v>
      </c>
      <c r="C304" s="5" t="s">
        <v>888</v>
      </c>
      <c r="D304" s="5">
        <v>21</v>
      </c>
      <c r="E304" s="5" t="str">
        <f>_xlfn.TEXTJOIN("+",TRUE,Table1[[#This Row],[Snapshot]:[ID]])</f>
        <v>46282+DIR-A4E4569B221B</v>
      </c>
      <c r="F304" s="5"/>
      <c r="G304" s="5" t="s">
        <v>1288</v>
      </c>
      <c r="H304" s="20" t="s">
        <v>1289</v>
      </c>
      <c r="I304" s="5" t="s">
        <v>89</v>
      </c>
      <c r="J304" s="4" t="s">
        <v>30</v>
      </c>
      <c r="K304" s="4" t="str" cm="1">
        <f t="array" ref="K30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304" s="4" t="s">
        <v>888</v>
      </c>
      <c r="M304" s="4" t="s">
        <v>925</v>
      </c>
      <c r="N304" s="4" t="s">
        <v>1724</v>
      </c>
      <c r="O304" s="4" t="s">
        <v>906</v>
      </c>
      <c r="P304" s="6">
        <v>46277</v>
      </c>
      <c r="Q304" s="6">
        <v>46277</v>
      </c>
      <c r="R304" s="5">
        <v>1</v>
      </c>
      <c r="S304" s="5" t="s">
        <v>926</v>
      </c>
      <c r="T304" s="13">
        <v>46295</v>
      </c>
      <c r="U304" s="13">
        <v>46295</v>
      </c>
      <c r="V304" s="5">
        <v>0</v>
      </c>
      <c r="W304" s="22">
        <f>_xlfn.LET(
_xlpm.H,Table1[[#This Row],[Thời hạn mới nhất (Date)]],
_xlpm.S,Table1[[#This Row],[Snapshot]],
IF(
    ISNUMBER(_xlpm.H),
    INT(_xlpm.H)-INT(_xlpm.S),
    "Không giao thời hạn"
))</f>
        <v>13</v>
      </c>
      <c r="X304" s="4"/>
      <c r="Y304" s="5"/>
      <c r="Z304" s="5"/>
      <c r="AA304" s="5"/>
      <c r="AB304" s="4"/>
      <c r="AC304" s="6"/>
      <c r="AD304" s="6"/>
      <c r="AE304" s="4">
        <v>0</v>
      </c>
      <c r="AF304" s="26" t="str">
        <f>_xlfn.LET(
_xlpm.H,Table1[[#This Row],[Thời hạn mới nhất (Date)]],
_xlpm.D,Table1[[#This Row],[Dự kiến mới nhất (Date)]],
IF(
NOT(ISNUMBER(_xlpm.H)),"Không giao thời hạn",
IF(
NOT(ISNUMBER(_xlpm.D)),"Chưa có dự kiến",
_xlpm.D-_xlpm.H
)))</f>
        <v>Chưa có dự kiến</v>
      </c>
    </row>
    <row r="305" spans="1:32" ht="145.75" x14ac:dyDescent="0.4">
      <c r="A305" s="44">
        <v>46282</v>
      </c>
      <c r="B305" s="4" t="s">
        <v>579</v>
      </c>
      <c r="C305" s="5" t="s">
        <v>570</v>
      </c>
      <c r="D305" s="5">
        <v>16</v>
      </c>
      <c r="E305" s="5" t="str">
        <f>_xlfn.TEXTJOIN("+",TRUE,Table1[[#This Row],[Snapshot]:[ID]])</f>
        <v>46282+DIR-A906FDAE48E5</v>
      </c>
      <c r="F305" s="5"/>
      <c r="G305" s="5" t="s">
        <v>1493</v>
      </c>
      <c r="H305" s="20" t="s">
        <v>1494</v>
      </c>
      <c r="I305" s="5" t="s">
        <v>63</v>
      </c>
      <c r="J305" s="4" t="s">
        <v>30</v>
      </c>
      <c r="K305" s="4" t="str" cm="1">
        <f t="array" ref="K30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305" s="4" t="s">
        <v>570</v>
      </c>
      <c r="M305" s="4" t="s">
        <v>580</v>
      </c>
      <c r="N305" s="4" t="s">
        <v>1697</v>
      </c>
      <c r="O305" s="4" t="s">
        <v>170</v>
      </c>
      <c r="P305" s="6">
        <v>46228</v>
      </c>
      <c r="Q305" s="6">
        <v>46228</v>
      </c>
      <c r="R305" s="5">
        <v>1</v>
      </c>
      <c r="S305" s="5" t="s">
        <v>165</v>
      </c>
      <c r="T305" s="13">
        <v>46234</v>
      </c>
      <c r="U305" s="13">
        <v>46234</v>
      </c>
      <c r="V305" s="5">
        <v>0</v>
      </c>
      <c r="W305" s="22">
        <f>_xlfn.LET(
_xlpm.H,Table1[[#This Row],[Thời hạn mới nhất (Date)]],
_xlpm.S,Table1[[#This Row],[Snapshot]],
IF(
    ISNUMBER(_xlpm.H),
    INT(_xlpm.H)-INT(_xlpm.S),
    "Không giao thời hạn"
))</f>
        <v>-48</v>
      </c>
      <c r="X305" s="4" t="s">
        <v>954</v>
      </c>
      <c r="Y305" s="5"/>
      <c r="Z305" s="5" t="s">
        <v>35</v>
      </c>
      <c r="AA305" s="5"/>
      <c r="AB305" s="4"/>
      <c r="AC305" s="6"/>
      <c r="AD305" s="6"/>
      <c r="AE305" s="4">
        <v>0</v>
      </c>
      <c r="AF305" s="26" t="str">
        <f>_xlfn.LET(
_xlpm.H,Table1[[#This Row],[Thời hạn mới nhất (Date)]],
_xlpm.D,Table1[[#This Row],[Dự kiến mới nhất (Date)]],
IF(
NOT(ISNUMBER(_xlpm.H)),"Không giao thời hạn",
IF(
NOT(ISNUMBER(_xlpm.D)),"Chưa có dự kiến",
_xlpm.D-_xlpm.H
)))</f>
        <v>Chưa có dự kiến</v>
      </c>
    </row>
    <row r="306" spans="1:32" ht="102" x14ac:dyDescent="0.4">
      <c r="A306" s="44">
        <v>46275</v>
      </c>
      <c r="B306" s="4" t="s">
        <v>579</v>
      </c>
      <c r="C306" s="5" t="s">
        <v>570</v>
      </c>
      <c r="D306" s="5">
        <v>16</v>
      </c>
      <c r="E306" s="5" t="str">
        <f>_xlfn.TEXTJOIN("+",TRUE,Table1[[#This Row],[Snapshot]:[ID]])</f>
        <v>46275+DIR-A906FDAE48E5</v>
      </c>
      <c r="F306" s="5"/>
      <c r="G306" s="5" t="s">
        <v>1495</v>
      </c>
      <c r="H306" s="20" t="s">
        <v>1496</v>
      </c>
      <c r="I306" s="5" t="s">
        <v>63</v>
      </c>
      <c r="J306" s="4" t="s">
        <v>30</v>
      </c>
      <c r="K306" s="4" t="str" cm="1">
        <f t="array" ref="K30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306" s="4" t="s">
        <v>570</v>
      </c>
      <c r="M306" s="4" t="s">
        <v>580</v>
      </c>
      <c r="N306" s="4" t="s">
        <v>1697</v>
      </c>
      <c r="O306" s="4" t="s">
        <v>170</v>
      </c>
      <c r="P306" s="6">
        <v>46228</v>
      </c>
      <c r="Q306" s="6">
        <v>46228</v>
      </c>
      <c r="R306" s="5">
        <v>1</v>
      </c>
      <c r="S306" s="5" t="s">
        <v>165</v>
      </c>
      <c r="T306" s="13">
        <v>46234</v>
      </c>
      <c r="U306" s="13">
        <v>46234</v>
      </c>
      <c r="V306" s="5">
        <v>0</v>
      </c>
      <c r="W306" s="22">
        <f>_xlfn.LET(
_xlpm.H,Table1[[#This Row],[Thời hạn mới nhất (Date)]],
_xlpm.S,Table1[[#This Row],[Snapshot]],
IF(
    ISNUMBER(_xlpm.H),
    INT(_xlpm.H)-INT(_xlpm.S),
    "Không giao thời hạn"
))</f>
        <v>-41</v>
      </c>
      <c r="X306" s="4" t="s">
        <v>581</v>
      </c>
      <c r="Y306" s="5"/>
      <c r="Z306" s="5" t="s">
        <v>35</v>
      </c>
      <c r="AA306" s="5"/>
      <c r="AB306" s="4"/>
      <c r="AC306" s="6"/>
      <c r="AD306" s="6"/>
      <c r="AE306" s="4">
        <v>0</v>
      </c>
      <c r="AF306" s="26" t="str">
        <f>_xlfn.LET(
_xlpm.H,Table1[[#This Row],[Thời hạn mới nhất (Date)]],
_xlpm.D,Table1[[#This Row],[Dự kiến mới nhất (Date)]],
IF(
NOT(ISNUMBER(_xlpm.H)),"Không giao thời hạn",
IF(
NOT(ISNUMBER(_xlpm.D)),"Chưa có dự kiến",
_xlpm.D-_xlpm.H
)))</f>
        <v>Chưa có dự kiến</v>
      </c>
    </row>
    <row r="307" spans="1:32" ht="145.75" x14ac:dyDescent="0.4">
      <c r="A307" s="44">
        <v>46282</v>
      </c>
      <c r="B307" s="4" t="s">
        <v>38</v>
      </c>
      <c r="C307" s="5" t="s">
        <v>28</v>
      </c>
      <c r="D307" s="5">
        <v>14</v>
      </c>
      <c r="E307" s="5" t="str">
        <f>_xlfn.TEXTJOIN("+",TRUE,Table1[[#This Row],[Snapshot]:[ID]])</f>
        <v>46282+DIR-A991B2499228</v>
      </c>
      <c r="F307" s="5"/>
      <c r="G307" s="5" t="s">
        <v>1497</v>
      </c>
      <c r="H307" s="20" t="s">
        <v>1498</v>
      </c>
      <c r="I307" s="5" t="s">
        <v>52</v>
      </c>
      <c r="J307" s="4" t="s">
        <v>30</v>
      </c>
      <c r="K307" s="4" t="str" cm="1">
        <f t="array" ref="K30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08. Xử lý Nợ, VAMC và Thu hồi Tài sản</v>
      </c>
      <c r="L307" s="4" t="s">
        <v>28</v>
      </c>
      <c r="M307" s="4" t="s">
        <v>40</v>
      </c>
      <c r="N307" s="4" t="s">
        <v>1725</v>
      </c>
      <c r="O307" s="4" t="s">
        <v>32</v>
      </c>
      <c r="P307" s="6">
        <v>46242</v>
      </c>
      <c r="Q307" s="6">
        <v>46242</v>
      </c>
      <c r="R307" s="5">
        <v>1</v>
      </c>
      <c r="S307" s="5" t="s">
        <v>41</v>
      </c>
      <c r="T307" s="13">
        <v>46246</v>
      </c>
      <c r="U307" s="13">
        <v>46246</v>
      </c>
      <c r="V307" s="5">
        <v>0</v>
      </c>
      <c r="W307" s="22">
        <f>_xlfn.LET(
_xlpm.H,Table1[[#This Row],[Thời hạn mới nhất (Date)]],
_xlpm.S,Table1[[#This Row],[Snapshot]],
IF(
    ISNUMBER(_xlpm.H),
    INT(_xlpm.H)-INT(_xlpm.S),
    "Không giao thời hạn"
))</f>
        <v>-36</v>
      </c>
      <c r="X307" s="4" t="s">
        <v>42</v>
      </c>
      <c r="Y307" s="5"/>
      <c r="Z307" s="5" t="s">
        <v>35</v>
      </c>
      <c r="AA307" s="5"/>
      <c r="AB307" s="4" t="s">
        <v>725</v>
      </c>
      <c r="AC307" s="6">
        <v>46295</v>
      </c>
      <c r="AD307" s="6">
        <v>46295</v>
      </c>
      <c r="AE307" s="4">
        <v>0</v>
      </c>
      <c r="AF307" s="26">
        <f>_xlfn.LET(
_xlpm.H,Table1[[#This Row],[Thời hạn mới nhất (Date)]],
_xlpm.D,Table1[[#This Row],[Dự kiến mới nhất (Date)]],
IF(
NOT(ISNUMBER(_xlpm.H)),"Không giao thời hạn",
IF(
NOT(ISNUMBER(_xlpm.D)),"Chưa có dự kiến",
_xlpm.D-_xlpm.H
)))</f>
        <v>49</v>
      </c>
    </row>
    <row r="308" spans="1:32" ht="87.45" x14ac:dyDescent="0.4">
      <c r="A308" s="44">
        <v>46275</v>
      </c>
      <c r="B308" s="4" t="s">
        <v>38</v>
      </c>
      <c r="C308" s="5" t="s">
        <v>28</v>
      </c>
      <c r="D308" s="5">
        <v>14</v>
      </c>
      <c r="E308" s="5" t="str">
        <f>_xlfn.TEXTJOIN("+",TRUE,Table1[[#This Row],[Snapshot]:[ID]])</f>
        <v>46275+DIR-A991B2499228</v>
      </c>
      <c r="F308" s="5"/>
      <c r="G308" s="5" t="s">
        <v>1499</v>
      </c>
      <c r="H308" s="20" t="s">
        <v>1500</v>
      </c>
      <c r="I308" s="5" t="s">
        <v>39</v>
      </c>
      <c r="J308" s="4" t="s">
        <v>30</v>
      </c>
      <c r="K308" s="4" t="str" cm="1">
        <f t="array" ref="K30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08. Xử lý Nợ, VAMC và Thu hồi Tài sản</v>
      </c>
      <c r="L308" s="4" t="s">
        <v>28</v>
      </c>
      <c r="M308" s="4" t="s">
        <v>40</v>
      </c>
      <c r="N308" s="4" t="s">
        <v>1725</v>
      </c>
      <c r="O308" s="4" t="s">
        <v>32</v>
      </c>
      <c r="P308" s="6">
        <v>46242</v>
      </c>
      <c r="Q308" s="6">
        <v>46242</v>
      </c>
      <c r="R308" s="5">
        <v>1</v>
      </c>
      <c r="S308" s="5" t="s">
        <v>41</v>
      </c>
      <c r="T308" s="13">
        <v>46246</v>
      </c>
      <c r="U308" s="13">
        <v>46246</v>
      </c>
      <c r="V308" s="5">
        <v>0</v>
      </c>
      <c r="W308" s="22">
        <f>_xlfn.LET(
_xlpm.H,Table1[[#This Row],[Thời hạn mới nhất (Date)]],
_xlpm.S,Table1[[#This Row],[Snapshot]],
IF(
    ISNUMBER(_xlpm.H),
    INT(_xlpm.H)-INT(_xlpm.S),
    "Không giao thời hạn"
))</f>
        <v>-29</v>
      </c>
      <c r="X308" s="4" t="s">
        <v>42</v>
      </c>
      <c r="Y308" s="5"/>
      <c r="Z308" s="5" t="s">
        <v>35</v>
      </c>
      <c r="AA308" s="5"/>
      <c r="AB308" s="4" t="s">
        <v>36</v>
      </c>
      <c r="AC308" s="6">
        <v>46295</v>
      </c>
      <c r="AD308" s="6">
        <v>46295</v>
      </c>
      <c r="AE308" s="4">
        <v>0</v>
      </c>
      <c r="AF308" s="26">
        <f>_xlfn.LET(
_xlpm.H,Table1[[#This Row],[Thời hạn mới nhất (Date)]],
_xlpm.D,Table1[[#This Row],[Dự kiến mới nhất (Date)]],
IF(
NOT(ISNUMBER(_xlpm.H)),"Không giao thời hạn",
IF(
NOT(ISNUMBER(_xlpm.D)),"Chưa có dự kiến",
_xlpm.D-_xlpm.H
)))</f>
        <v>49</v>
      </c>
    </row>
    <row r="309" spans="1:32" ht="131.15" x14ac:dyDescent="0.4">
      <c r="A309" s="44">
        <v>46282</v>
      </c>
      <c r="B309" s="4" t="s">
        <v>387</v>
      </c>
      <c r="C309" s="5" t="s">
        <v>352</v>
      </c>
      <c r="D309" s="5">
        <v>22</v>
      </c>
      <c r="E309" s="5" t="str">
        <f>_xlfn.TEXTJOIN("+",TRUE,Table1[[#This Row],[Snapshot]:[ID]])</f>
        <v>46282+DIR-A9AF7DD7917E</v>
      </c>
      <c r="F309" s="5"/>
      <c r="G309" s="5" t="s">
        <v>1985</v>
      </c>
      <c r="H309" s="20" t="s">
        <v>1986</v>
      </c>
      <c r="I309" s="5" t="s">
        <v>93</v>
      </c>
      <c r="J309" s="4" t="s">
        <v>30</v>
      </c>
      <c r="K309" s="4" t="str" cm="1">
        <f t="array" ref="K30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15. Mua sắm và Quản lý Nhà cung cấp</v>
      </c>
      <c r="L309" s="4" t="s">
        <v>352</v>
      </c>
      <c r="M309" s="4" t="s">
        <v>388</v>
      </c>
      <c r="N309" s="4" t="s">
        <v>1702</v>
      </c>
      <c r="O309" s="4" t="s">
        <v>389</v>
      </c>
      <c r="P309" s="6">
        <v>46116</v>
      </c>
      <c r="Q309" s="6">
        <v>46116</v>
      </c>
      <c r="R309" s="5">
        <v>1</v>
      </c>
      <c r="S309" s="5"/>
      <c r="T309" s="13"/>
      <c r="U309" s="13"/>
      <c r="V309" s="5">
        <v>0</v>
      </c>
      <c r="W309" s="22" t="str">
        <f>_xlfn.LET(
_xlpm.H,Table1[[#This Row],[Thời hạn mới nhất (Date)]],
_xlpm.S,Table1[[#This Row],[Snapshot]],
IF(
    ISNUMBER(_xlpm.H),
    INT(_xlpm.H)-INT(_xlpm.S),
    "Không giao thời hạn"
))</f>
        <v>Không giao thời hạn</v>
      </c>
      <c r="X309" s="4" t="s">
        <v>390</v>
      </c>
      <c r="Y309" s="5"/>
      <c r="Z309" s="5" t="s">
        <v>35</v>
      </c>
      <c r="AA309" s="5"/>
      <c r="AB309" s="4" t="s">
        <v>391</v>
      </c>
      <c r="AC309" s="6">
        <v>46326</v>
      </c>
      <c r="AD309" s="6">
        <v>46326</v>
      </c>
      <c r="AE309" s="4">
        <v>0</v>
      </c>
      <c r="AF309" s="26" t="str">
        <f>_xlfn.LET(
_xlpm.H,Table1[[#This Row],[Thời hạn mới nhất (Date)]],
_xlpm.D,Table1[[#This Row],[Dự kiến mới nhất (Date)]],
IF(
NOT(ISNUMBER(_xlpm.H)),"Không giao thời hạn",
IF(
NOT(ISNUMBER(_xlpm.D)),"Chưa có dự kiến",
_xlpm.D-_xlpm.H
)))</f>
        <v>Không giao thời hạn</v>
      </c>
    </row>
    <row r="310" spans="1:32" ht="174.9" x14ac:dyDescent="0.4">
      <c r="A310" s="44">
        <v>46275</v>
      </c>
      <c r="B310" s="4" t="s">
        <v>387</v>
      </c>
      <c r="C310" s="5" t="s">
        <v>352</v>
      </c>
      <c r="D310" s="5">
        <v>23</v>
      </c>
      <c r="E310" s="5" t="str">
        <f>_xlfn.TEXTJOIN("+",TRUE,Table1[[#This Row],[Snapshot]:[ID]])</f>
        <v>46275+DIR-A9AF7DD7917E</v>
      </c>
      <c r="F310" s="5"/>
      <c r="G310" s="5" t="s">
        <v>1987</v>
      </c>
      <c r="H310" s="20" t="s">
        <v>1988</v>
      </c>
      <c r="I310" s="5" t="s">
        <v>97</v>
      </c>
      <c r="J310" s="4" t="s">
        <v>30</v>
      </c>
      <c r="K310" s="4" t="str" cm="1">
        <f t="array" ref="K31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15. Mua sắm và Quản lý Nhà cung cấp</v>
      </c>
      <c r="L310" s="4" t="s">
        <v>352</v>
      </c>
      <c r="M310" s="4" t="s">
        <v>388</v>
      </c>
      <c r="N310" s="4" t="s">
        <v>1702</v>
      </c>
      <c r="O310" s="4" t="s">
        <v>389</v>
      </c>
      <c r="P310" s="6">
        <v>46116</v>
      </c>
      <c r="Q310" s="6">
        <v>46116</v>
      </c>
      <c r="R310" s="5">
        <v>1</v>
      </c>
      <c r="S310" s="5"/>
      <c r="T310" s="13"/>
      <c r="U310" s="13"/>
      <c r="V310" s="5">
        <v>0</v>
      </c>
      <c r="W310" s="22" t="str">
        <f>_xlfn.LET(
_xlpm.H,Table1[[#This Row],[Thời hạn mới nhất (Date)]],
_xlpm.S,Table1[[#This Row],[Snapshot]],
IF(
    ISNUMBER(_xlpm.H),
    INT(_xlpm.H)-INT(_xlpm.S),
    "Không giao thời hạn"
))</f>
        <v>Không giao thời hạn</v>
      </c>
      <c r="X310" s="4" t="s">
        <v>390</v>
      </c>
      <c r="Y310" s="5"/>
      <c r="Z310" s="5" t="s">
        <v>35</v>
      </c>
      <c r="AA310" s="5"/>
      <c r="AB310" s="4" t="s">
        <v>391</v>
      </c>
      <c r="AC310" s="6">
        <v>46326</v>
      </c>
      <c r="AD310" s="6">
        <v>46326</v>
      </c>
      <c r="AE310" s="4">
        <v>0</v>
      </c>
      <c r="AF310" s="26" t="str">
        <f>_xlfn.LET(
_xlpm.H,Table1[[#This Row],[Thời hạn mới nhất (Date)]],
_xlpm.D,Table1[[#This Row],[Dự kiến mới nhất (Date)]],
IF(
NOT(ISNUMBER(_xlpm.H)),"Không giao thời hạn",
IF(
NOT(ISNUMBER(_xlpm.D)),"Chưa có dự kiến",
_xlpm.D-_xlpm.H
)))</f>
        <v>Không giao thời hạn</v>
      </c>
    </row>
    <row r="311" spans="1:32" ht="174.9" x14ac:dyDescent="0.4">
      <c r="A311" s="44">
        <v>46275</v>
      </c>
      <c r="B311" s="4" t="s">
        <v>335</v>
      </c>
      <c r="C311" s="5" t="s">
        <v>297</v>
      </c>
      <c r="D311" s="5">
        <v>22</v>
      </c>
      <c r="E311" s="5" t="str">
        <f>_xlfn.TEXTJOIN("+",TRUE,Table1[[#This Row],[Snapshot]:[ID]])</f>
        <v>46275+DIR-AA0EA7CAF885</v>
      </c>
      <c r="F311" s="5"/>
      <c r="G311" s="5" t="s">
        <v>1989</v>
      </c>
      <c r="H311" s="20" t="s">
        <v>1990</v>
      </c>
      <c r="I311" s="5" t="s">
        <v>93</v>
      </c>
      <c r="J311" s="4" t="s">
        <v>30</v>
      </c>
      <c r="K311" s="4" t="str" cm="1">
        <f t="array" ref="K31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311" s="4" t="s">
        <v>297</v>
      </c>
      <c r="M311" s="4" t="s">
        <v>336</v>
      </c>
      <c r="N311" s="4" t="s">
        <v>1701</v>
      </c>
      <c r="O311" s="4" t="s">
        <v>191</v>
      </c>
      <c r="P311" s="13">
        <v>46262</v>
      </c>
      <c r="Q311" s="13">
        <v>46262</v>
      </c>
      <c r="R311" s="5">
        <v>1</v>
      </c>
      <c r="S311" s="5"/>
      <c r="T311" s="13"/>
      <c r="U311" s="13"/>
      <c r="V311" s="5">
        <v>0</v>
      </c>
      <c r="W311" s="22" t="str">
        <f>_xlfn.LET(
_xlpm.H,Table1[[#This Row],[Thời hạn mới nhất (Date)]],
_xlpm.S,Table1[[#This Row],[Snapshot]],
IF(
    ISNUMBER(_xlpm.H),
    INT(_xlpm.H)-INT(_xlpm.S),
    "Không giao thời hạn"
))</f>
        <v>Không giao thời hạn</v>
      </c>
      <c r="X311" s="4" t="s">
        <v>337</v>
      </c>
      <c r="Y311" s="5" t="s">
        <v>35</v>
      </c>
      <c r="Z311" s="5"/>
      <c r="AA311" s="5"/>
      <c r="AB311" s="4"/>
      <c r="AC311" s="6"/>
      <c r="AD311" s="6"/>
      <c r="AE311" s="4">
        <v>0</v>
      </c>
      <c r="AF311" s="26" t="str">
        <f>_xlfn.LET(
_xlpm.H,Table1[[#This Row],[Thời hạn mới nhất (Date)]],
_xlpm.D,Table1[[#This Row],[Dự kiến mới nhất (Date)]],
IF(
NOT(ISNUMBER(_xlpm.H)),"Không giao thời hạn",
IF(
NOT(ISNUMBER(_xlpm.D)),"Chưa có dự kiến",
_xlpm.D-_xlpm.H
)))</f>
        <v>Không giao thời hạn</v>
      </c>
    </row>
    <row r="312" spans="1:32" ht="145.75" x14ac:dyDescent="0.4">
      <c r="A312" s="44">
        <v>46282</v>
      </c>
      <c r="B312" s="4" t="s">
        <v>679</v>
      </c>
      <c r="C312" s="5" t="s">
        <v>607</v>
      </c>
      <c r="D312" s="5">
        <v>36</v>
      </c>
      <c r="E312" s="5" t="str">
        <f>_xlfn.TEXTJOIN("+",TRUE,Table1[[#This Row],[Snapshot]:[ID]])</f>
        <v>46282+DIR-AA2AA11EC257</v>
      </c>
      <c r="F312" s="5"/>
      <c r="G312" s="5" t="s">
        <v>1408</v>
      </c>
      <c r="H312" s="20" t="s">
        <v>1409</v>
      </c>
      <c r="I312" s="5" t="s">
        <v>93</v>
      </c>
      <c r="J312" s="4" t="s">
        <v>200</v>
      </c>
      <c r="K312" s="4" t="str" cm="1">
        <f t="array" ref="K31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312" s="4" t="s">
        <v>607</v>
      </c>
      <c r="M312" s="4" t="s">
        <v>680</v>
      </c>
      <c r="N312" s="4" t="s">
        <v>1700</v>
      </c>
      <c r="O312" s="4" t="s">
        <v>681</v>
      </c>
      <c r="P312" s="6">
        <v>45941</v>
      </c>
      <c r="Q312" s="6">
        <v>45941</v>
      </c>
      <c r="R312" s="5">
        <v>1</v>
      </c>
      <c r="S312" s="5"/>
      <c r="T312" s="13"/>
      <c r="U312" s="13"/>
      <c r="V312" s="5">
        <v>0</v>
      </c>
      <c r="W312" s="22" t="str">
        <f>_xlfn.LET(
_xlpm.H,Table1[[#This Row],[Thời hạn mới nhất (Date)]],
_xlpm.S,Table1[[#This Row],[Snapshot]],
IF(
    ISNUMBER(_xlpm.H),
    INT(_xlpm.H)-INT(_xlpm.S),
    "Không giao thời hạn"
))</f>
        <v>Không giao thời hạn</v>
      </c>
      <c r="X312" s="4" t="s">
        <v>682</v>
      </c>
      <c r="Y312" s="5"/>
      <c r="Z312" s="5" t="s">
        <v>35</v>
      </c>
      <c r="AA312" s="5"/>
      <c r="AB312" s="4" t="s">
        <v>61</v>
      </c>
      <c r="AC312" s="6"/>
      <c r="AD312" s="6"/>
      <c r="AE312" s="4">
        <v>0</v>
      </c>
      <c r="AF312" s="26" t="str">
        <f>_xlfn.LET(
_xlpm.H,Table1[[#This Row],[Thời hạn mới nhất (Date)]],
_xlpm.D,Table1[[#This Row],[Dự kiến mới nhất (Date)]],
IF(
NOT(ISNUMBER(_xlpm.H)),"Không giao thời hạn",
IF(
NOT(ISNUMBER(_xlpm.D)),"Chưa có dự kiến",
_xlpm.D-_xlpm.H
)))</f>
        <v>Không giao thời hạn</v>
      </c>
    </row>
    <row r="313" spans="1:32" ht="145.75" x14ac:dyDescent="0.4">
      <c r="A313" s="44">
        <v>46275</v>
      </c>
      <c r="B313" s="4" t="s">
        <v>679</v>
      </c>
      <c r="C313" s="5" t="s">
        <v>607</v>
      </c>
      <c r="D313" s="5">
        <v>36</v>
      </c>
      <c r="E313" s="5" t="str">
        <f>_xlfn.TEXTJOIN("+",TRUE,Table1[[#This Row],[Snapshot]:[ID]])</f>
        <v>46275+DIR-AA2AA11EC257</v>
      </c>
      <c r="F313" s="5"/>
      <c r="G313" s="5" t="s">
        <v>1408</v>
      </c>
      <c r="H313" s="20" t="s">
        <v>1409</v>
      </c>
      <c r="I313" s="5" t="s">
        <v>93</v>
      </c>
      <c r="J313" s="4" t="s">
        <v>200</v>
      </c>
      <c r="K313" s="4" t="str" cm="1">
        <f t="array" ref="K31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313" s="4" t="s">
        <v>607</v>
      </c>
      <c r="M313" s="4" t="s">
        <v>680</v>
      </c>
      <c r="N313" s="4" t="s">
        <v>1700</v>
      </c>
      <c r="O313" s="4" t="s">
        <v>681</v>
      </c>
      <c r="P313" s="6">
        <v>45941</v>
      </c>
      <c r="Q313" s="6">
        <v>45941</v>
      </c>
      <c r="R313" s="5">
        <v>1</v>
      </c>
      <c r="S313" s="5"/>
      <c r="T313" s="13"/>
      <c r="U313" s="13"/>
      <c r="V313" s="5">
        <v>0</v>
      </c>
      <c r="W313" s="22" t="str">
        <f>_xlfn.LET(
_xlpm.H,Table1[[#This Row],[Thời hạn mới nhất (Date)]],
_xlpm.S,Table1[[#This Row],[Snapshot]],
IF(
    ISNUMBER(_xlpm.H),
    INT(_xlpm.H)-INT(_xlpm.S),
    "Không giao thời hạn"
))</f>
        <v>Không giao thời hạn</v>
      </c>
      <c r="X313" s="4" t="s">
        <v>682</v>
      </c>
      <c r="Y313" s="5"/>
      <c r="Z313" s="5" t="s">
        <v>35</v>
      </c>
      <c r="AA313" s="5"/>
      <c r="AB313" s="4" t="s">
        <v>61</v>
      </c>
      <c r="AC313" s="6"/>
      <c r="AD313" s="6"/>
      <c r="AE313" s="4">
        <v>0</v>
      </c>
      <c r="AF313" s="26" t="str">
        <f>_xlfn.LET(
_xlpm.H,Table1[[#This Row],[Thời hạn mới nhất (Date)]],
_xlpm.D,Table1[[#This Row],[Dự kiến mới nhất (Date)]],
IF(
NOT(ISNUMBER(_xlpm.H)),"Không giao thời hạn",
IF(
NOT(ISNUMBER(_xlpm.D)),"Chưa có dự kiến",
_xlpm.D-_xlpm.H
)))</f>
        <v>Không giao thời hạn</v>
      </c>
    </row>
    <row r="314" spans="1:32" ht="116.6" x14ac:dyDescent="0.4">
      <c r="A314" s="44">
        <v>46282</v>
      </c>
      <c r="B314" s="4" t="s">
        <v>876</v>
      </c>
      <c r="C314" s="5" t="s">
        <v>877</v>
      </c>
      <c r="D314" s="5">
        <v>13</v>
      </c>
      <c r="E314" s="5" t="str">
        <f>_xlfn.TEXTJOIN("+",TRUE,Table1[[#This Row],[Snapshot]:[ID]])</f>
        <v>46282+DIR-AAE17CC933D0</v>
      </c>
      <c r="F314" s="5"/>
      <c r="G314" s="5" t="s">
        <v>1376</v>
      </c>
      <c r="H314" s="20" t="s">
        <v>1377</v>
      </c>
      <c r="I314" s="5" t="s">
        <v>45</v>
      </c>
      <c r="J314" s="4" t="s">
        <v>30</v>
      </c>
      <c r="K314" s="4" t="str" cm="1">
        <f t="array" ref="K31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314" s="4" t="s">
        <v>877</v>
      </c>
      <c r="M314" s="4" t="s">
        <v>878</v>
      </c>
      <c r="N314" s="4" t="s">
        <v>1720</v>
      </c>
      <c r="O314" s="4" t="s">
        <v>263</v>
      </c>
      <c r="P314" s="6">
        <v>46118</v>
      </c>
      <c r="Q314" s="6">
        <v>46118</v>
      </c>
      <c r="R314" s="5">
        <v>1</v>
      </c>
      <c r="S314" s="5"/>
      <c r="T314" s="13"/>
      <c r="U314" s="13"/>
      <c r="V314" s="5">
        <v>0</v>
      </c>
      <c r="W314" s="22" t="str">
        <f>_xlfn.LET(
_xlpm.H,Table1[[#This Row],[Thời hạn mới nhất (Date)]],
_xlpm.S,Table1[[#This Row],[Snapshot]],
IF(
    ISNUMBER(_xlpm.H),
    INT(_xlpm.H)-INT(_xlpm.S),
    "Không giao thời hạn"
))</f>
        <v>Không giao thời hạn</v>
      </c>
      <c r="X314" s="4" t="s">
        <v>879</v>
      </c>
      <c r="Y314" s="5"/>
      <c r="Z314" s="5" t="s">
        <v>35</v>
      </c>
      <c r="AA314" s="5"/>
      <c r="AB314" s="4" t="s">
        <v>61</v>
      </c>
      <c r="AC314" s="6"/>
      <c r="AD314" s="6"/>
      <c r="AE314" s="4">
        <v>0</v>
      </c>
      <c r="AF314" s="26" t="str">
        <f>_xlfn.LET(
_xlpm.H,Table1[[#This Row],[Thời hạn mới nhất (Date)]],
_xlpm.D,Table1[[#This Row],[Dự kiến mới nhất (Date)]],
IF(
NOT(ISNUMBER(_xlpm.H)),"Không giao thời hạn",
IF(
NOT(ISNUMBER(_xlpm.D)),"Chưa có dự kiến",
_xlpm.D-_xlpm.H
)))</f>
        <v>Không giao thời hạn</v>
      </c>
    </row>
    <row r="315" spans="1:32" ht="116.6" x14ac:dyDescent="0.4">
      <c r="A315" s="44">
        <v>46275</v>
      </c>
      <c r="B315" s="4" t="s">
        <v>876</v>
      </c>
      <c r="C315" s="5" t="s">
        <v>877</v>
      </c>
      <c r="D315" s="5">
        <v>13</v>
      </c>
      <c r="E315" s="5" t="str">
        <f>_xlfn.TEXTJOIN("+",TRUE,Table1[[#This Row],[Snapshot]:[ID]])</f>
        <v>46275+DIR-AAE17CC933D0</v>
      </c>
      <c r="F315" s="5"/>
      <c r="G315" s="5" t="s">
        <v>1376</v>
      </c>
      <c r="H315" s="20" t="s">
        <v>1377</v>
      </c>
      <c r="I315" s="5" t="s">
        <v>45</v>
      </c>
      <c r="J315" s="4" t="s">
        <v>30</v>
      </c>
      <c r="K315" s="4" t="str" cm="1">
        <f t="array" ref="K31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315" s="4" t="s">
        <v>877</v>
      </c>
      <c r="M315" s="4" t="s">
        <v>878</v>
      </c>
      <c r="N315" s="4" t="s">
        <v>1720</v>
      </c>
      <c r="O315" s="4" t="s">
        <v>263</v>
      </c>
      <c r="P315" s="6">
        <v>46118</v>
      </c>
      <c r="Q315" s="6">
        <v>46118</v>
      </c>
      <c r="R315" s="5">
        <v>1</v>
      </c>
      <c r="S315" s="5"/>
      <c r="T315" s="13"/>
      <c r="U315" s="13"/>
      <c r="V315" s="5">
        <v>0</v>
      </c>
      <c r="W315" s="22" t="str">
        <f>_xlfn.LET(
_xlpm.H,Table1[[#This Row],[Thời hạn mới nhất (Date)]],
_xlpm.S,Table1[[#This Row],[Snapshot]],
IF(
    ISNUMBER(_xlpm.H),
    INT(_xlpm.H)-INT(_xlpm.S),
    "Không giao thời hạn"
))</f>
        <v>Không giao thời hạn</v>
      </c>
      <c r="X315" s="4" t="s">
        <v>879</v>
      </c>
      <c r="Y315" s="5"/>
      <c r="Z315" s="5" t="s">
        <v>35</v>
      </c>
      <c r="AA315" s="5"/>
      <c r="AB315" s="4" t="s">
        <v>61</v>
      </c>
      <c r="AC315" s="6"/>
      <c r="AD315" s="6"/>
      <c r="AE315" s="4">
        <v>0</v>
      </c>
      <c r="AF315" s="26" t="str">
        <f>_xlfn.LET(
_xlpm.H,Table1[[#This Row],[Thời hạn mới nhất (Date)]],
_xlpm.D,Table1[[#This Row],[Dự kiến mới nhất (Date)]],
IF(
NOT(ISNUMBER(_xlpm.H)),"Không giao thời hạn",
IF(
NOT(ISNUMBER(_xlpm.D)),"Chưa có dự kiến",
_xlpm.D-_xlpm.H
)))</f>
        <v>Không giao thời hạn</v>
      </c>
    </row>
    <row r="316" spans="1:32" ht="160.30000000000001" x14ac:dyDescent="0.4">
      <c r="A316" s="44">
        <v>46282</v>
      </c>
      <c r="B316" s="4" t="s">
        <v>831</v>
      </c>
      <c r="C316" s="5" t="s">
        <v>688</v>
      </c>
      <c r="D316" s="5">
        <v>56</v>
      </c>
      <c r="E316" s="5" t="str">
        <f>_xlfn.TEXTJOIN("+",TRUE,Table1[[#This Row],[Snapshot]:[ID]])</f>
        <v>46282+DIR-AC76C6DDFD6E</v>
      </c>
      <c r="F316" s="5"/>
      <c r="G316" s="5" t="s">
        <v>1648</v>
      </c>
      <c r="H316" s="20" t="s">
        <v>1649</v>
      </c>
      <c r="I316" s="5" t="s">
        <v>812</v>
      </c>
      <c r="J316" s="4" t="s">
        <v>689</v>
      </c>
      <c r="K316" s="4" t="str" cm="1">
        <f t="array" ref="K31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316" s="4" t="s">
        <v>688</v>
      </c>
      <c r="M316" s="4" t="s">
        <v>506</v>
      </c>
      <c r="N316" s="4" t="s">
        <v>1696</v>
      </c>
      <c r="O316" s="4" t="s">
        <v>181</v>
      </c>
      <c r="P316" s="6">
        <v>46270</v>
      </c>
      <c r="Q316" s="6">
        <v>46270</v>
      </c>
      <c r="R316" s="5">
        <v>1</v>
      </c>
      <c r="S316" s="5" t="s">
        <v>176</v>
      </c>
      <c r="T316" s="13">
        <v>46280</v>
      </c>
      <c r="U316" s="13">
        <v>46280</v>
      </c>
      <c r="V316" s="5">
        <v>0</v>
      </c>
      <c r="W316" s="22">
        <f>_xlfn.LET(
_xlpm.H,Table1[[#This Row],[Thời hạn mới nhất (Date)]],
_xlpm.S,Table1[[#This Row],[Snapshot]],
IF(
    ISNUMBER(_xlpm.H),
    INT(_xlpm.H)-INT(_xlpm.S),
    "Không giao thời hạn"
))</f>
        <v>-2</v>
      </c>
      <c r="X316" s="4" t="s">
        <v>970</v>
      </c>
      <c r="Y316" s="5"/>
      <c r="Z316" s="5" t="s">
        <v>35</v>
      </c>
      <c r="AA316" s="5"/>
      <c r="AB316" s="4" t="s">
        <v>892</v>
      </c>
      <c r="AC316" s="6">
        <v>46280</v>
      </c>
      <c r="AD316" s="6">
        <v>46280</v>
      </c>
      <c r="AE316" s="4">
        <v>0</v>
      </c>
      <c r="AF316" s="26">
        <f>_xlfn.LET(
_xlpm.H,Table1[[#This Row],[Thời hạn mới nhất (Date)]],
_xlpm.D,Table1[[#This Row],[Dự kiến mới nhất (Date)]],
IF(
NOT(ISNUMBER(_xlpm.H)),"Không giao thời hạn",
IF(
NOT(ISNUMBER(_xlpm.D)),"Chưa có dự kiến",
_xlpm.D-_xlpm.H
)))</f>
        <v>0</v>
      </c>
    </row>
    <row r="317" spans="1:32" ht="131.15" x14ac:dyDescent="0.4">
      <c r="A317" s="44">
        <v>46275</v>
      </c>
      <c r="B317" s="4" t="s">
        <v>831</v>
      </c>
      <c r="C317" s="5" t="s">
        <v>688</v>
      </c>
      <c r="D317" s="5">
        <v>59</v>
      </c>
      <c r="E317" s="5" t="str">
        <f>_xlfn.TEXTJOIN("+",TRUE,Table1[[#This Row],[Snapshot]:[ID]])</f>
        <v>46275+DIR-AC76C6DDFD6E</v>
      </c>
      <c r="F317" s="5"/>
      <c r="G317" s="5" t="s">
        <v>1378</v>
      </c>
      <c r="H317" s="20" t="s">
        <v>1379</v>
      </c>
      <c r="I317" s="5" t="s">
        <v>832</v>
      </c>
      <c r="J317" s="4" t="s">
        <v>689</v>
      </c>
      <c r="K317" s="4" t="str" cm="1">
        <f t="array" ref="K31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317" s="4" t="s">
        <v>688</v>
      </c>
      <c r="M317" s="4" t="s">
        <v>506</v>
      </c>
      <c r="N317" s="4" t="s">
        <v>1696</v>
      </c>
      <c r="O317" s="4" t="s">
        <v>181</v>
      </c>
      <c r="P317" s="6">
        <v>46270</v>
      </c>
      <c r="Q317" s="6">
        <v>46270</v>
      </c>
      <c r="R317" s="5">
        <v>1</v>
      </c>
      <c r="S317" s="5" t="s">
        <v>176</v>
      </c>
      <c r="T317" s="13">
        <v>46280</v>
      </c>
      <c r="U317" s="13">
        <v>46280</v>
      </c>
      <c r="V317" s="5">
        <v>0</v>
      </c>
      <c r="W317" s="22">
        <f>_xlfn.LET(
_xlpm.H,Table1[[#This Row],[Thời hạn mới nhất (Date)]],
_xlpm.S,Table1[[#This Row],[Snapshot]],
IF(
    ISNUMBER(_xlpm.H),
    INT(_xlpm.H)-INT(_xlpm.S),
    "Không giao thời hạn"
))</f>
        <v>5</v>
      </c>
      <c r="X317" s="4" t="s">
        <v>729</v>
      </c>
      <c r="Y317" s="5"/>
      <c r="Z317" s="5" t="s">
        <v>194</v>
      </c>
      <c r="AA317" s="5"/>
      <c r="AB317" s="4" t="s">
        <v>806</v>
      </c>
      <c r="AC317" s="6">
        <v>46280</v>
      </c>
      <c r="AD317" s="6">
        <v>46280</v>
      </c>
      <c r="AE317" s="4">
        <v>0</v>
      </c>
      <c r="AF317" s="26">
        <f>_xlfn.LET(
_xlpm.H,Table1[[#This Row],[Thời hạn mới nhất (Date)]],
_xlpm.D,Table1[[#This Row],[Dự kiến mới nhất (Date)]],
IF(
NOT(ISNUMBER(_xlpm.H)),"Không giao thời hạn",
IF(
NOT(ISNUMBER(_xlpm.D)),"Chưa có dự kiến",
_xlpm.D-_xlpm.H
)))</f>
        <v>0</v>
      </c>
    </row>
    <row r="318" spans="1:32" ht="43.75" x14ac:dyDescent="0.4">
      <c r="A318" s="44">
        <v>46282</v>
      </c>
      <c r="B318" s="4" t="s">
        <v>841</v>
      </c>
      <c r="C318" s="5" t="s">
        <v>688</v>
      </c>
      <c r="D318" s="5">
        <v>59</v>
      </c>
      <c r="E318" s="5" t="str">
        <f>_xlfn.TEXTJOIN("+",TRUE,Table1[[#This Row],[Snapshot]:[ID]])</f>
        <v>46282+DIR-ADFA21E11EE9</v>
      </c>
      <c r="F318" s="5"/>
      <c r="G318" s="5" t="s">
        <v>1299</v>
      </c>
      <c r="H318" s="20" t="s">
        <v>1299</v>
      </c>
      <c r="I318" s="5" t="s">
        <v>832</v>
      </c>
      <c r="J318" s="4" t="s">
        <v>689</v>
      </c>
      <c r="K318" s="4" t="str" cm="1">
        <f t="array" ref="K31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05. Quản trị Dữ liệu và Tích hợp Dữ liệu</v>
      </c>
      <c r="L318" s="4" t="s">
        <v>688</v>
      </c>
      <c r="M318" s="4" t="s">
        <v>197</v>
      </c>
      <c r="N318" s="4" t="s">
        <v>1696</v>
      </c>
      <c r="O318" s="4" t="s">
        <v>181</v>
      </c>
      <c r="P318" s="6">
        <v>46270</v>
      </c>
      <c r="Q318" s="6">
        <v>46270</v>
      </c>
      <c r="R318" s="5">
        <v>1</v>
      </c>
      <c r="S318" s="5"/>
      <c r="T318" s="13"/>
      <c r="U318" s="13"/>
      <c r="V318" s="5">
        <v>0</v>
      </c>
      <c r="W318" s="22" t="str">
        <f>_xlfn.LET(
_xlpm.H,Table1[[#This Row],[Thời hạn mới nhất (Date)]],
_xlpm.S,Table1[[#This Row],[Snapshot]],
IF(
    ISNUMBER(_xlpm.H),
    INT(_xlpm.H)-INT(_xlpm.S),
    "Không giao thời hạn"
))</f>
        <v>Không giao thời hạn</v>
      </c>
      <c r="X318" s="4" t="s">
        <v>835</v>
      </c>
      <c r="Y318" s="5"/>
      <c r="Z318" s="5" t="s">
        <v>35</v>
      </c>
      <c r="AA318" s="5"/>
      <c r="AB318" s="4"/>
      <c r="AC318" s="6"/>
      <c r="AD318" s="6"/>
      <c r="AE318" s="4">
        <v>0</v>
      </c>
      <c r="AF318" s="26" t="str">
        <f>_xlfn.LET(
_xlpm.H,Table1[[#This Row],[Thời hạn mới nhất (Date)]],
_xlpm.D,Table1[[#This Row],[Dự kiến mới nhất (Date)]],
IF(
NOT(ISNUMBER(_xlpm.H)),"Không giao thời hạn",
IF(
NOT(ISNUMBER(_xlpm.D)),"Chưa có dự kiến",
_xlpm.D-_xlpm.H
)))</f>
        <v>Không giao thời hạn</v>
      </c>
    </row>
    <row r="319" spans="1:32" ht="43.75" x14ac:dyDescent="0.4">
      <c r="A319" s="44">
        <v>46275</v>
      </c>
      <c r="B319" s="4" t="s">
        <v>841</v>
      </c>
      <c r="C319" s="5" t="s">
        <v>688</v>
      </c>
      <c r="D319" s="5">
        <v>62</v>
      </c>
      <c r="E319" s="5" t="str">
        <f>_xlfn.TEXTJOIN("+",TRUE,Table1[[#This Row],[Snapshot]:[ID]])</f>
        <v>46275+DIR-ADFA21E11EE9</v>
      </c>
      <c r="F319" s="5"/>
      <c r="G319" s="5" t="s">
        <v>1299</v>
      </c>
      <c r="H319" s="20" t="s">
        <v>1299</v>
      </c>
      <c r="I319" s="5" t="s">
        <v>842</v>
      </c>
      <c r="J319" s="4" t="s">
        <v>689</v>
      </c>
      <c r="K319" s="4" t="str" cm="1">
        <f t="array" ref="K31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05. Quản trị Dữ liệu và Tích hợp Dữ liệu</v>
      </c>
      <c r="L319" s="4" t="s">
        <v>688</v>
      </c>
      <c r="M319" s="4" t="s">
        <v>197</v>
      </c>
      <c r="N319" s="4" t="s">
        <v>1696</v>
      </c>
      <c r="O319" s="4" t="s">
        <v>181</v>
      </c>
      <c r="P319" s="6">
        <v>46270</v>
      </c>
      <c r="Q319" s="6">
        <v>46270</v>
      </c>
      <c r="R319" s="5">
        <v>1</v>
      </c>
      <c r="S319" s="5"/>
      <c r="T319" s="13"/>
      <c r="U319" s="13"/>
      <c r="V319" s="5">
        <v>0</v>
      </c>
      <c r="W319" s="22" t="str">
        <f>_xlfn.LET(
_xlpm.H,Table1[[#This Row],[Thời hạn mới nhất (Date)]],
_xlpm.S,Table1[[#This Row],[Snapshot]],
IF(
    ISNUMBER(_xlpm.H),
    INT(_xlpm.H)-INT(_xlpm.S),
    "Không giao thời hạn"
))</f>
        <v>Không giao thời hạn</v>
      </c>
      <c r="X319" s="4" t="s">
        <v>835</v>
      </c>
      <c r="Y319" s="5"/>
      <c r="Z319" s="5" t="s">
        <v>194</v>
      </c>
      <c r="AA319" s="5"/>
      <c r="AB319" s="4"/>
      <c r="AC319" s="6"/>
      <c r="AD319" s="6"/>
      <c r="AE319" s="4">
        <v>0</v>
      </c>
      <c r="AF319" s="26" t="str">
        <f>_xlfn.LET(
_xlpm.H,Table1[[#This Row],[Thời hạn mới nhất (Date)]],
_xlpm.D,Table1[[#This Row],[Dự kiến mới nhất (Date)]],
IF(
NOT(ISNUMBER(_xlpm.H)),"Không giao thời hạn",
IF(
NOT(ISNUMBER(_xlpm.D)),"Chưa có dự kiến",
_xlpm.D-_xlpm.H
)))</f>
        <v>Không giao thời hạn</v>
      </c>
    </row>
    <row r="320" spans="1:32" ht="43.75" x14ac:dyDescent="0.4">
      <c r="A320" s="44">
        <v>46275</v>
      </c>
      <c r="B320" s="4" t="s">
        <v>841</v>
      </c>
      <c r="C320" s="5" t="s">
        <v>688</v>
      </c>
      <c r="D320" s="5">
        <v>68</v>
      </c>
      <c r="E320" s="5" t="str">
        <f>_xlfn.TEXTJOIN("+",TRUE,Table1[[#This Row],[Snapshot]:[ID]])</f>
        <v>46275+DIR-ADFA21E11EE9</v>
      </c>
      <c r="F320" s="5"/>
      <c r="G320" s="5" t="s">
        <v>1299</v>
      </c>
      <c r="H320" s="20" t="s">
        <v>1299</v>
      </c>
      <c r="I320" s="5" t="s">
        <v>858</v>
      </c>
      <c r="J320" s="4" t="s">
        <v>200</v>
      </c>
      <c r="K320" s="4" t="str" cm="1">
        <f t="array" ref="K32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05. Quản trị Dữ liệu và Tích hợp Dữ liệu</v>
      </c>
      <c r="L320" s="4" t="s">
        <v>688</v>
      </c>
      <c r="M320" s="4" t="s">
        <v>197</v>
      </c>
      <c r="N320" s="4" t="s">
        <v>1696</v>
      </c>
      <c r="O320" s="4" t="s">
        <v>181</v>
      </c>
      <c r="P320" s="6">
        <v>46270</v>
      </c>
      <c r="Q320" s="6">
        <v>46270</v>
      </c>
      <c r="R320" s="5">
        <v>1</v>
      </c>
      <c r="S320" s="5"/>
      <c r="T320" s="13"/>
      <c r="U320" s="13"/>
      <c r="V320" s="5">
        <v>0</v>
      </c>
      <c r="W320" s="22" t="str">
        <f>_xlfn.LET(
_xlpm.H,Table1[[#This Row],[Thời hạn mới nhất (Date)]],
_xlpm.S,Table1[[#This Row],[Snapshot]],
IF(
    ISNUMBER(_xlpm.H),
    INT(_xlpm.H)-INT(_xlpm.S),
    "Không giao thời hạn"
))</f>
        <v>Không giao thời hạn</v>
      </c>
      <c r="X320" s="4" t="s">
        <v>859</v>
      </c>
      <c r="Y320" s="5"/>
      <c r="Z320" s="5"/>
      <c r="AA320" s="5"/>
      <c r="AB320" s="4"/>
      <c r="AC320" s="6"/>
      <c r="AD320" s="6"/>
      <c r="AE320" s="4">
        <v>0</v>
      </c>
      <c r="AF320" s="26" t="str">
        <f>_xlfn.LET(
_xlpm.H,Table1[[#This Row],[Thời hạn mới nhất (Date)]],
_xlpm.D,Table1[[#This Row],[Dự kiến mới nhất (Date)]],
IF(
NOT(ISNUMBER(_xlpm.H)),"Không giao thời hạn",
IF(
NOT(ISNUMBER(_xlpm.D)),"Chưa có dự kiến",
_xlpm.D-_xlpm.H
)))</f>
        <v>Không giao thời hạn</v>
      </c>
    </row>
    <row r="321" spans="1:32" ht="160.30000000000001" x14ac:dyDescent="0.4">
      <c r="A321" s="44">
        <v>46282</v>
      </c>
      <c r="B321" s="4" t="s">
        <v>114</v>
      </c>
      <c r="C321" s="5" t="s">
        <v>44</v>
      </c>
      <c r="D321" s="5">
        <v>26</v>
      </c>
      <c r="E321" s="5" t="str">
        <f>_xlfn.TEXTJOIN("+",TRUE,Table1[[#This Row],[Snapshot]:[ID]])</f>
        <v>46282+DIR-AF7C23F06EE5</v>
      </c>
      <c r="F321" s="5"/>
      <c r="G321" s="5" t="s">
        <v>1450</v>
      </c>
      <c r="H321" s="20" t="s">
        <v>1451</v>
      </c>
      <c r="I321" s="5" t="s">
        <v>111</v>
      </c>
      <c r="J321" s="4" t="s">
        <v>30</v>
      </c>
      <c r="K321" s="4" t="str" cm="1">
        <f t="array" ref="K32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321" s="4" t="s">
        <v>44</v>
      </c>
      <c r="M321" s="4" t="s">
        <v>116</v>
      </c>
      <c r="N321" s="4" t="s">
        <v>1703</v>
      </c>
      <c r="O321" s="4" t="s">
        <v>32</v>
      </c>
      <c r="P321" s="6">
        <v>46242</v>
      </c>
      <c r="Q321" s="6">
        <v>46242</v>
      </c>
      <c r="R321" s="5">
        <v>1</v>
      </c>
      <c r="S321" s="5" t="s">
        <v>117</v>
      </c>
      <c r="T321" s="13">
        <v>46248</v>
      </c>
      <c r="U321" s="13">
        <v>46248</v>
      </c>
      <c r="V321" s="5">
        <v>0</v>
      </c>
      <c r="W321" s="22">
        <f>_xlfn.LET(
_xlpm.H,Table1[[#This Row],[Thời hạn mới nhất (Date)]],
_xlpm.S,Table1[[#This Row],[Snapshot]],
IF(
    ISNUMBER(_xlpm.H),
    INT(_xlpm.H)-INT(_xlpm.S),
    "Không giao thời hạn"
))</f>
        <v>-34</v>
      </c>
      <c r="X321" s="4" t="s">
        <v>118</v>
      </c>
      <c r="Y321" s="5"/>
      <c r="Z321" s="5" t="s">
        <v>35</v>
      </c>
      <c r="AA321" s="5"/>
      <c r="AB321" s="4"/>
      <c r="AC321" s="6"/>
      <c r="AD321" s="6"/>
      <c r="AE321" s="4">
        <v>0</v>
      </c>
      <c r="AF321" s="26" t="str">
        <f>_xlfn.LET(
_xlpm.H,Table1[[#This Row],[Thời hạn mới nhất (Date)]],
_xlpm.D,Table1[[#This Row],[Dự kiến mới nhất (Date)]],
IF(
NOT(ISNUMBER(_xlpm.H)),"Không giao thời hạn",
IF(
NOT(ISNUMBER(_xlpm.D)),"Chưa có dự kiến",
_xlpm.D-_xlpm.H
)))</f>
        <v>Chưa có dự kiến</v>
      </c>
    </row>
    <row r="322" spans="1:32" ht="116.6" x14ac:dyDescent="0.4">
      <c r="A322" s="44">
        <v>46275</v>
      </c>
      <c r="B322" s="4" t="s">
        <v>114</v>
      </c>
      <c r="C322" s="5" t="s">
        <v>44</v>
      </c>
      <c r="D322" s="5">
        <v>27</v>
      </c>
      <c r="E322" s="5" t="str">
        <f>_xlfn.TEXTJOIN("+",TRUE,Table1[[#This Row],[Snapshot]:[ID]])</f>
        <v>46275+DIR-AF7C23F06EE5</v>
      </c>
      <c r="F322" s="5"/>
      <c r="G322" s="5" t="s">
        <v>1452</v>
      </c>
      <c r="H322" s="20" t="s">
        <v>1453</v>
      </c>
      <c r="I322" s="5" t="s">
        <v>115</v>
      </c>
      <c r="J322" s="4" t="s">
        <v>30</v>
      </c>
      <c r="K322" s="4" t="str" cm="1">
        <f t="array" ref="K32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322" s="4" t="s">
        <v>44</v>
      </c>
      <c r="M322" s="4" t="s">
        <v>116</v>
      </c>
      <c r="N322" s="4" t="s">
        <v>1703</v>
      </c>
      <c r="O322" s="4" t="s">
        <v>32</v>
      </c>
      <c r="P322" s="6">
        <v>46242</v>
      </c>
      <c r="Q322" s="6">
        <v>46242</v>
      </c>
      <c r="R322" s="5">
        <v>1</v>
      </c>
      <c r="S322" s="5" t="s">
        <v>117</v>
      </c>
      <c r="T322" s="13">
        <v>46248</v>
      </c>
      <c r="U322" s="13">
        <v>46248</v>
      </c>
      <c r="V322" s="5">
        <v>0</v>
      </c>
      <c r="W322" s="22">
        <f>_xlfn.LET(
_xlpm.H,Table1[[#This Row],[Thời hạn mới nhất (Date)]],
_xlpm.S,Table1[[#This Row],[Snapshot]],
IF(
    ISNUMBER(_xlpm.H),
    INT(_xlpm.H)-INT(_xlpm.S),
    "Không giao thời hạn"
))</f>
        <v>-27</v>
      </c>
      <c r="X322" s="4" t="s">
        <v>118</v>
      </c>
      <c r="Y322" s="5"/>
      <c r="Z322" s="5" t="s">
        <v>35</v>
      </c>
      <c r="AA322" s="5"/>
      <c r="AB322" s="4"/>
      <c r="AC322" s="6"/>
      <c r="AD322" s="6"/>
      <c r="AE322" s="4">
        <v>0</v>
      </c>
      <c r="AF322" s="26" t="str">
        <f>_xlfn.LET(
_xlpm.H,Table1[[#This Row],[Thời hạn mới nhất (Date)]],
_xlpm.D,Table1[[#This Row],[Dự kiến mới nhất (Date)]],
IF(
NOT(ISNUMBER(_xlpm.H)),"Không giao thời hạn",
IF(
NOT(ISNUMBER(_xlpm.D)),"Chưa có dự kiến",
_xlpm.D-_xlpm.H
)))</f>
        <v>Chưa có dự kiến</v>
      </c>
    </row>
    <row r="323" spans="1:32" ht="43.75" x14ac:dyDescent="0.4">
      <c r="A323" s="44">
        <v>46282</v>
      </c>
      <c r="B323" s="4" t="s">
        <v>937</v>
      </c>
      <c r="C323" s="5" t="s">
        <v>352</v>
      </c>
      <c r="D323" s="5">
        <v>33</v>
      </c>
      <c r="E323" s="5" t="str">
        <f>_xlfn.TEXTJOIN("+",TRUE,Table1[[#This Row],[Snapshot]:[ID]])</f>
        <v>46282+DIR-AFDD34FF08E7</v>
      </c>
      <c r="F323" s="5"/>
      <c r="G323" s="5" t="s">
        <v>1290</v>
      </c>
      <c r="H323" s="20" t="s">
        <v>1290</v>
      </c>
      <c r="I323" s="5" t="s">
        <v>147</v>
      </c>
      <c r="J323" s="4" t="s">
        <v>30</v>
      </c>
      <c r="K323" s="4" t="str" cm="1">
        <f t="array" ref="K32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323" s="4" t="s">
        <v>352</v>
      </c>
      <c r="M323" s="4" t="s">
        <v>938</v>
      </c>
      <c r="N323" s="4" t="s">
        <v>1726</v>
      </c>
      <c r="O323" s="4" t="s">
        <v>906</v>
      </c>
      <c r="P323" s="6">
        <v>46277</v>
      </c>
      <c r="Q323" s="6">
        <v>46277</v>
      </c>
      <c r="R323" s="5">
        <v>1</v>
      </c>
      <c r="S323" s="5"/>
      <c r="T323" s="13"/>
      <c r="U323" s="13"/>
      <c r="V323" s="5">
        <v>0</v>
      </c>
      <c r="W323" s="22" t="str">
        <f>_xlfn.LET(
_xlpm.H,Table1[[#This Row],[Thời hạn mới nhất (Date)]],
_xlpm.S,Table1[[#This Row],[Snapshot]],
IF(
    ISNUMBER(_xlpm.H),
    INT(_xlpm.H)-INT(_xlpm.S),
    "Không giao thời hạn"
))</f>
        <v>Không giao thời hạn</v>
      </c>
      <c r="X323" s="4"/>
      <c r="Y323" s="5"/>
      <c r="Z323" s="5"/>
      <c r="AA323" s="5"/>
      <c r="AB323" s="4"/>
      <c r="AC323" s="6"/>
      <c r="AD323" s="6"/>
      <c r="AE323" s="4">
        <v>0</v>
      </c>
      <c r="AF323" s="26" t="str">
        <f>_xlfn.LET(
_xlpm.H,Table1[[#This Row],[Thời hạn mới nhất (Date)]],
_xlpm.D,Table1[[#This Row],[Dự kiến mới nhất (Date)]],
IF(
NOT(ISNUMBER(_xlpm.H)),"Không giao thời hạn",
IF(
NOT(ISNUMBER(_xlpm.D)),"Chưa có dự kiến",
_xlpm.D-_xlpm.H
)))</f>
        <v>Không giao thời hạn</v>
      </c>
    </row>
    <row r="324" spans="1:32" ht="174.9" x14ac:dyDescent="0.4">
      <c r="A324" s="44">
        <v>46275</v>
      </c>
      <c r="B324" s="4" t="s">
        <v>814</v>
      </c>
      <c r="C324" s="5" t="s">
        <v>688</v>
      </c>
      <c r="D324" s="5">
        <v>55</v>
      </c>
      <c r="E324" s="5" t="str">
        <f>_xlfn.TEXTJOIN("+",TRUE,Table1[[#This Row],[Snapshot]:[ID]])</f>
        <v>46275+DIR-B2CBF897D3BF</v>
      </c>
      <c r="F324" s="5"/>
      <c r="G324" s="5" t="s">
        <v>1991</v>
      </c>
      <c r="H324" s="20" t="s">
        <v>1992</v>
      </c>
      <c r="I324" s="5" t="s">
        <v>815</v>
      </c>
      <c r="J324" s="4" t="s">
        <v>689</v>
      </c>
      <c r="K324" s="4" t="str" cm="1">
        <f t="array" ref="K32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24. Hệ sinh thái Giáo dục và Tài chính Giáo dục</v>
      </c>
      <c r="L324" s="4" t="s">
        <v>688</v>
      </c>
      <c r="M324" s="4" t="s">
        <v>816</v>
      </c>
      <c r="N324" s="4" t="s">
        <v>1696</v>
      </c>
      <c r="O324" s="4" t="s">
        <v>181</v>
      </c>
      <c r="P324" s="6">
        <v>46270</v>
      </c>
      <c r="Q324" s="6">
        <v>46270</v>
      </c>
      <c r="R324" s="5">
        <v>1</v>
      </c>
      <c r="S324" s="5"/>
      <c r="T324" s="13"/>
      <c r="U324" s="13"/>
      <c r="V324" s="5">
        <v>0</v>
      </c>
      <c r="W324" s="22" t="str">
        <f>_xlfn.LET(
_xlpm.H,Table1[[#This Row],[Thời hạn mới nhất (Date)]],
_xlpm.S,Table1[[#This Row],[Snapshot]],
IF(
    ISNUMBER(_xlpm.H),
    INT(_xlpm.H)-INT(_xlpm.S),
    "Không giao thời hạn"
))</f>
        <v>Không giao thời hạn</v>
      </c>
      <c r="X324" s="4" t="s">
        <v>817</v>
      </c>
      <c r="Y324" s="5"/>
      <c r="Z324" s="5" t="s">
        <v>194</v>
      </c>
      <c r="AA324" s="5"/>
      <c r="AB324" s="4" t="s">
        <v>818</v>
      </c>
      <c r="AC324" s="6">
        <v>46356</v>
      </c>
      <c r="AD324" s="6">
        <v>46356</v>
      </c>
      <c r="AE324" s="4">
        <v>0</v>
      </c>
      <c r="AF324" s="26" t="str">
        <f>_xlfn.LET(
_xlpm.H,Table1[[#This Row],[Thời hạn mới nhất (Date)]],
_xlpm.D,Table1[[#This Row],[Dự kiến mới nhất (Date)]],
IF(
NOT(ISNUMBER(_xlpm.H)),"Không giao thời hạn",
IF(
NOT(ISNUMBER(_xlpm.D)),"Chưa có dự kiến",
_xlpm.D-_xlpm.H
)))</f>
        <v>Không giao thời hạn</v>
      </c>
    </row>
    <row r="325" spans="1:32" ht="131.15" x14ac:dyDescent="0.4">
      <c r="A325" s="44">
        <v>46282</v>
      </c>
      <c r="B325" s="4" t="s">
        <v>597</v>
      </c>
      <c r="C325" s="5" t="s">
        <v>570</v>
      </c>
      <c r="D325" s="5">
        <v>22</v>
      </c>
      <c r="E325" s="5" t="str">
        <f>_xlfn.TEXTJOIN("+",TRUE,Table1[[#This Row],[Snapshot]:[ID]])</f>
        <v>46282+DIR-B4BD6701D3CF</v>
      </c>
      <c r="F325" s="5"/>
      <c r="G325" s="5" t="s">
        <v>1501</v>
      </c>
      <c r="H325" s="20" t="s">
        <v>1502</v>
      </c>
      <c r="I325" s="5" t="s">
        <v>93</v>
      </c>
      <c r="J325" s="4" t="s">
        <v>30</v>
      </c>
      <c r="K325" s="4" t="str" cm="1">
        <f t="array" ref="K32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325" s="4" t="s">
        <v>570</v>
      </c>
      <c r="M325" s="4" t="s">
        <v>513</v>
      </c>
      <c r="N325" s="4" t="s">
        <v>1697</v>
      </c>
      <c r="O325" s="4" t="s">
        <v>181</v>
      </c>
      <c r="P325" s="13">
        <v>46270</v>
      </c>
      <c r="Q325" s="13">
        <v>46270</v>
      </c>
      <c r="R325" s="5">
        <v>1</v>
      </c>
      <c r="S325" s="5" t="s">
        <v>514</v>
      </c>
      <c r="T325" s="13">
        <v>46275</v>
      </c>
      <c r="U325" s="13">
        <v>46275</v>
      </c>
      <c r="V325" s="5">
        <v>0</v>
      </c>
      <c r="W325" s="22">
        <f>_xlfn.LET(
_xlpm.H,Table1[[#This Row],[Thời hạn mới nhất (Date)]],
_xlpm.S,Table1[[#This Row],[Snapshot]],
IF(
    ISNUMBER(_xlpm.H),
    INT(_xlpm.H)-INT(_xlpm.S),
    "Không giao thời hạn"
))</f>
        <v>-7</v>
      </c>
      <c r="X325" s="4" t="s">
        <v>959</v>
      </c>
      <c r="Y325" s="5" t="s">
        <v>35</v>
      </c>
      <c r="Z325" s="5"/>
      <c r="AA325" s="5"/>
      <c r="AB325" s="4"/>
      <c r="AC325" s="6"/>
      <c r="AD325" s="6"/>
      <c r="AE325" s="4">
        <v>0</v>
      </c>
      <c r="AF325" s="26" t="str">
        <f>_xlfn.LET(
_xlpm.H,Table1[[#This Row],[Thời hạn mới nhất (Date)]],
_xlpm.D,Table1[[#This Row],[Dự kiến mới nhất (Date)]],
IF(
NOT(ISNUMBER(_xlpm.H)),"Không giao thời hạn",
IF(
NOT(ISNUMBER(_xlpm.D)),"Chưa có dự kiến",
_xlpm.D-_xlpm.H
)))</f>
        <v>Chưa có dự kiến</v>
      </c>
    </row>
    <row r="326" spans="1:32" ht="131.15" x14ac:dyDescent="0.4">
      <c r="A326" s="44">
        <v>46275</v>
      </c>
      <c r="B326" s="4" t="s">
        <v>597</v>
      </c>
      <c r="C326" s="5" t="s">
        <v>570</v>
      </c>
      <c r="D326" s="5">
        <v>22</v>
      </c>
      <c r="E326" s="5" t="str">
        <f>_xlfn.TEXTJOIN("+",TRUE,Table1[[#This Row],[Snapshot]:[ID]])</f>
        <v>46275+DIR-B4BD6701D3CF</v>
      </c>
      <c r="F326" s="5"/>
      <c r="G326" s="5" t="s">
        <v>1348</v>
      </c>
      <c r="H326" s="20" t="s">
        <v>1349</v>
      </c>
      <c r="I326" s="5" t="s">
        <v>93</v>
      </c>
      <c r="J326" s="4" t="s">
        <v>30</v>
      </c>
      <c r="K326" s="4" t="str" cm="1">
        <f t="array" ref="K32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07. Định giá và Quản lý Tài sản Bảo đảm</v>
      </c>
      <c r="L326" s="4" t="s">
        <v>570</v>
      </c>
      <c r="M326" s="4" t="s">
        <v>513</v>
      </c>
      <c r="N326" s="4" t="s">
        <v>1697</v>
      </c>
      <c r="O326" s="4" t="s">
        <v>181</v>
      </c>
      <c r="P326" s="6">
        <v>46270</v>
      </c>
      <c r="Q326" s="6">
        <v>46270</v>
      </c>
      <c r="R326" s="5">
        <v>1</v>
      </c>
      <c r="S326" s="5" t="s">
        <v>514</v>
      </c>
      <c r="T326" s="13">
        <v>46275</v>
      </c>
      <c r="U326" s="13">
        <v>46275</v>
      </c>
      <c r="V326" s="5">
        <v>0</v>
      </c>
      <c r="W326" s="22">
        <f>_xlfn.LET(
_xlpm.H,Table1[[#This Row],[Thời hạn mới nhất (Date)]],
_xlpm.S,Table1[[#This Row],[Snapshot]],
IF(
    ISNUMBER(_xlpm.H),
    INT(_xlpm.H)-INT(_xlpm.S),
    "Không giao thời hạn"
))</f>
        <v>0</v>
      </c>
      <c r="X326" s="4" t="s">
        <v>598</v>
      </c>
      <c r="Y326" s="5"/>
      <c r="Z326" s="5" t="s">
        <v>35</v>
      </c>
      <c r="AA326" s="5"/>
      <c r="AB326" s="4"/>
      <c r="AC326" s="6"/>
      <c r="AD326" s="6"/>
      <c r="AE326" s="4">
        <v>0</v>
      </c>
      <c r="AF326" s="26" t="str">
        <f>_xlfn.LET(
_xlpm.H,Table1[[#This Row],[Thời hạn mới nhất (Date)]],
_xlpm.D,Table1[[#This Row],[Dự kiến mới nhất (Date)]],
IF(
NOT(ISNUMBER(_xlpm.H)),"Không giao thời hạn",
IF(
NOT(ISNUMBER(_xlpm.D)),"Chưa có dự kiến",
_xlpm.D-_xlpm.H
)))</f>
        <v>Chưa có dự kiến</v>
      </c>
    </row>
    <row r="327" spans="1:32" ht="131.15" x14ac:dyDescent="0.4">
      <c r="A327" s="44">
        <v>46282</v>
      </c>
      <c r="B327" s="4" t="s">
        <v>498</v>
      </c>
      <c r="C327" s="5" t="s">
        <v>469</v>
      </c>
      <c r="D327" s="5">
        <v>20</v>
      </c>
      <c r="E327" s="5" t="str">
        <f>_xlfn.TEXTJOIN("+",TRUE,Table1[[#This Row],[Snapshot]:[ID]])</f>
        <v>46282+DIR-B54DBD6A7B21</v>
      </c>
      <c r="F327" s="5"/>
      <c r="G327" s="5" t="s">
        <v>1380</v>
      </c>
      <c r="H327" s="20" t="s">
        <v>1381</v>
      </c>
      <c r="I327" s="5" t="s">
        <v>80</v>
      </c>
      <c r="J327" s="4" t="s">
        <v>30</v>
      </c>
      <c r="K327" s="4" t="str" cm="1">
        <f t="array" ref="K32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327" s="4" t="s">
        <v>469</v>
      </c>
      <c r="M327" s="4" t="s">
        <v>499</v>
      </c>
      <c r="N327" s="4" t="s">
        <v>1713</v>
      </c>
      <c r="O327" s="4" t="s">
        <v>191</v>
      </c>
      <c r="P327" s="6">
        <v>46262</v>
      </c>
      <c r="Q327" s="6">
        <v>46262</v>
      </c>
      <c r="R327" s="5">
        <v>1</v>
      </c>
      <c r="S327" s="5"/>
      <c r="T327" s="13"/>
      <c r="U327" s="13"/>
      <c r="V327" s="5">
        <v>0</v>
      </c>
      <c r="W327" s="22" t="str">
        <f>_xlfn.LET(
_xlpm.H,Table1[[#This Row],[Thời hạn mới nhất (Date)]],
_xlpm.S,Table1[[#This Row],[Snapshot]],
IF(
    ISNUMBER(_xlpm.H),
    INT(_xlpm.H)-INT(_xlpm.S),
    "Không giao thời hạn"
))</f>
        <v>Không giao thời hạn</v>
      </c>
      <c r="X327" s="4" t="s">
        <v>500</v>
      </c>
      <c r="Y327" s="5"/>
      <c r="Z327" s="5" t="s">
        <v>35</v>
      </c>
      <c r="AA327" s="5"/>
      <c r="AB327" s="4"/>
      <c r="AC327" s="6"/>
      <c r="AD327" s="6"/>
      <c r="AE327" s="4">
        <v>0</v>
      </c>
      <c r="AF327" s="26" t="str">
        <f>_xlfn.LET(
_xlpm.H,Table1[[#This Row],[Thời hạn mới nhất (Date)]],
_xlpm.D,Table1[[#This Row],[Dự kiến mới nhất (Date)]],
IF(
NOT(ISNUMBER(_xlpm.H)),"Không giao thời hạn",
IF(
NOT(ISNUMBER(_xlpm.D)),"Chưa có dự kiến",
_xlpm.D-_xlpm.H
)))</f>
        <v>Không giao thời hạn</v>
      </c>
    </row>
    <row r="328" spans="1:32" ht="131.15" x14ac:dyDescent="0.4">
      <c r="A328" s="44">
        <v>46275</v>
      </c>
      <c r="B328" s="4" t="s">
        <v>498</v>
      </c>
      <c r="C328" s="5" t="s">
        <v>469</v>
      </c>
      <c r="D328" s="5">
        <v>20</v>
      </c>
      <c r="E328" s="5" t="str">
        <f>_xlfn.TEXTJOIN("+",TRUE,Table1[[#This Row],[Snapshot]:[ID]])</f>
        <v>46275+DIR-B54DBD6A7B21</v>
      </c>
      <c r="F328" s="5"/>
      <c r="G328" s="5" t="s">
        <v>1380</v>
      </c>
      <c r="H328" s="20" t="s">
        <v>1381</v>
      </c>
      <c r="I328" s="5" t="s">
        <v>80</v>
      </c>
      <c r="J328" s="4" t="s">
        <v>30</v>
      </c>
      <c r="K328" s="4" t="str" cm="1">
        <f t="array" ref="K32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328" s="4" t="s">
        <v>469</v>
      </c>
      <c r="M328" s="4" t="s">
        <v>499</v>
      </c>
      <c r="N328" s="4" t="s">
        <v>1713</v>
      </c>
      <c r="O328" s="4" t="s">
        <v>191</v>
      </c>
      <c r="P328" s="6">
        <v>46262</v>
      </c>
      <c r="Q328" s="6">
        <v>46262</v>
      </c>
      <c r="R328" s="5">
        <v>1</v>
      </c>
      <c r="S328" s="5"/>
      <c r="T328" s="13"/>
      <c r="U328" s="13"/>
      <c r="V328" s="5">
        <v>0</v>
      </c>
      <c r="W328" s="22" t="str">
        <f>_xlfn.LET(
_xlpm.H,Table1[[#This Row],[Thời hạn mới nhất (Date)]],
_xlpm.S,Table1[[#This Row],[Snapshot]],
IF(
    ISNUMBER(_xlpm.H),
    INT(_xlpm.H)-INT(_xlpm.S),
    "Không giao thời hạn"
))</f>
        <v>Không giao thời hạn</v>
      </c>
      <c r="X328" s="4" t="s">
        <v>500</v>
      </c>
      <c r="Y328" s="5"/>
      <c r="Z328" s="5" t="s">
        <v>194</v>
      </c>
      <c r="AA328" s="5"/>
      <c r="AB328" s="4"/>
      <c r="AC328" s="6"/>
      <c r="AD328" s="6"/>
      <c r="AE328" s="4">
        <v>0</v>
      </c>
      <c r="AF328" s="26" t="str">
        <f>_xlfn.LET(
_xlpm.H,Table1[[#This Row],[Thời hạn mới nhất (Date)]],
_xlpm.D,Table1[[#This Row],[Dự kiến mới nhất (Date)]],
IF(
NOT(ISNUMBER(_xlpm.H)),"Không giao thời hạn",
IF(
NOT(ISNUMBER(_xlpm.D)),"Chưa có dự kiến",
_xlpm.D-_xlpm.H
)))</f>
        <v>Không giao thời hạn</v>
      </c>
    </row>
    <row r="329" spans="1:32" ht="116.6" x14ac:dyDescent="0.4">
      <c r="A329" s="44">
        <v>46282</v>
      </c>
      <c r="B329" s="4" t="s">
        <v>691</v>
      </c>
      <c r="C329" s="5" t="s">
        <v>688</v>
      </c>
      <c r="D329" s="5">
        <v>19</v>
      </c>
      <c r="E329" s="5" t="str">
        <f>_xlfn.TEXTJOIN("+",TRUE,Table1[[#This Row],[Snapshot]:[ID]])</f>
        <v>46282+DIR-B565A382E991</v>
      </c>
      <c r="F329" s="5"/>
      <c r="G329" s="20" t="s">
        <v>1256</v>
      </c>
      <c r="H329" s="20" t="s">
        <v>1257</v>
      </c>
      <c r="I329" s="5" t="s">
        <v>52</v>
      </c>
      <c r="J329" s="4" t="s">
        <v>689</v>
      </c>
      <c r="K329" s="4" t="str" cm="1">
        <f t="array" ref="K32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34. Sản phẩm Tín dụng Bán lẻ và Khách hàng Chuyên biệt</v>
      </c>
      <c r="L329" s="4" t="s">
        <v>688</v>
      </c>
      <c r="M329" s="4" t="s">
        <v>692</v>
      </c>
      <c r="N329" s="4" t="s">
        <v>1696</v>
      </c>
      <c r="O329" s="4" t="s">
        <v>619</v>
      </c>
      <c r="P329" s="6">
        <v>46132</v>
      </c>
      <c r="Q329" s="6">
        <v>46132</v>
      </c>
      <c r="R329" s="5">
        <v>1</v>
      </c>
      <c r="S329" s="5" t="s">
        <v>693</v>
      </c>
      <c r="T329" s="13">
        <v>46137</v>
      </c>
      <c r="U329" s="13">
        <v>46137</v>
      </c>
      <c r="V329" s="5">
        <v>0</v>
      </c>
      <c r="W329" s="22">
        <f>_xlfn.LET(
_xlpm.H,Table1[[#This Row],[Thời hạn mới nhất (Date)]],
_xlpm.S,Table1[[#This Row],[Snapshot]],
IF(
    ISNUMBER(_xlpm.H),
    INT(_xlpm.H)-INT(_xlpm.S),
    "Không giao thời hạn"
))</f>
        <v>-145</v>
      </c>
      <c r="X329" s="4" t="s">
        <v>694</v>
      </c>
      <c r="Y329" s="5"/>
      <c r="Z329" s="5"/>
      <c r="AA329" s="5" t="s">
        <v>35</v>
      </c>
      <c r="AB329" s="4" t="s">
        <v>695</v>
      </c>
      <c r="AC329" s="6">
        <v>46295</v>
      </c>
      <c r="AD329" s="6">
        <v>46295</v>
      </c>
      <c r="AE329" s="4">
        <v>0</v>
      </c>
      <c r="AF329" s="26">
        <f>_xlfn.LET(
_xlpm.H,Table1[[#This Row],[Thời hạn mới nhất (Date)]],
_xlpm.D,Table1[[#This Row],[Dự kiến mới nhất (Date)]],
IF(
NOT(ISNUMBER(_xlpm.H)),"Không giao thời hạn",
IF(
NOT(ISNUMBER(_xlpm.D)),"Chưa có dự kiến",
_xlpm.D-_xlpm.H
)))</f>
        <v>158</v>
      </c>
    </row>
    <row r="330" spans="1:32" ht="87.45" x14ac:dyDescent="0.4">
      <c r="A330" s="44">
        <v>46275</v>
      </c>
      <c r="B330" s="4" t="s">
        <v>691</v>
      </c>
      <c r="C330" s="5" t="s">
        <v>688</v>
      </c>
      <c r="D330" s="5">
        <v>19</v>
      </c>
      <c r="E330" s="5" t="str">
        <f>_xlfn.TEXTJOIN("+",TRUE,Table1[[#This Row],[Snapshot]:[ID]])</f>
        <v>46275+DIR-B565A382E991</v>
      </c>
      <c r="F330" s="5"/>
      <c r="G330" s="20" t="s">
        <v>1258</v>
      </c>
      <c r="H330" s="20" t="s">
        <v>1259</v>
      </c>
      <c r="I330" s="5" t="s">
        <v>52</v>
      </c>
      <c r="J330" s="4" t="s">
        <v>689</v>
      </c>
      <c r="K330" s="4" t="str" cm="1">
        <f t="array" ref="K33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34. Sản phẩm Tín dụng Bán lẻ và Khách hàng Chuyên biệt</v>
      </c>
      <c r="L330" s="4" t="s">
        <v>688</v>
      </c>
      <c r="M330" s="4" t="s">
        <v>692</v>
      </c>
      <c r="N330" s="4" t="s">
        <v>1696</v>
      </c>
      <c r="O330" s="4" t="s">
        <v>619</v>
      </c>
      <c r="P330" s="6">
        <v>46132</v>
      </c>
      <c r="Q330" s="6">
        <v>46132</v>
      </c>
      <c r="R330" s="5">
        <v>1</v>
      </c>
      <c r="S330" s="5" t="s">
        <v>693</v>
      </c>
      <c r="T330" s="13">
        <v>46137</v>
      </c>
      <c r="U330" s="13">
        <v>46137</v>
      </c>
      <c r="V330" s="5">
        <v>0</v>
      </c>
      <c r="W330" s="22">
        <f>_xlfn.LET(
_xlpm.H,Table1[[#This Row],[Thời hạn mới nhất (Date)]],
_xlpm.S,Table1[[#This Row],[Snapshot]],
IF(
    ISNUMBER(_xlpm.H),
    INT(_xlpm.H)-INT(_xlpm.S),
    "Không giao thời hạn"
))</f>
        <v>-138</v>
      </c>
      <c r="X330" s="4" t="s">
        <v>694</v>
      </c>
      <c r="Y330" s="5"/>
      <c r="Z330" s="5"/>
      <c r="AA330" s="5" t="s">
        <v>35</v>
      </c>
      <c r="AB330" s="4" t="s">
        <v>695</v>
      </c>
      <c r="AC330" s="6">
        <v>46295</v>
      </c>
      <c r="AD330" s="6">
        <v>46295</v>
      </c>
      <c r="AE330" s="4">
        <v>0</v>
      </c>
      <c r="AF330" s="26">
        <f>_xlfn.LET(
_xlpm.H,Table1[[#This Row],[Thời hạn mới nhất (Date)]],
_xlpm.D,Table1[[#This Row],[Dự kiến mới nhất (Date)]],
IF(
NOT(ISNUMBER(_xlpm.H)),"Không giao thời hạn",
IF(
NOT(ISNUMBER(_xlpm.D)),"Chưa có dự kiến",
_xlpm.D-_xlpm.H
)))</f>
        <v>158</v>
      </c>
    </row>
    <row r="331" spans="1:32" ht="174.9" x14ac:dyDescent="0.4">
      <c r="A331" s="44">
        <v>46282</v>
      </c>
      <c r="B331" s="4" t="s">
        <v>617</v>
      </c>
      <c r="C331" s="5" t="s">
        <v>607</v>
      </c>
      <c r="D331" s="5">
        <v>16</v>
      </c>
      <c r="E331" s="5" t="str">
        <f>_xlfn.TEXTJOIN("+",TRUE,Table1[[#This Row],[Snapshot]:[ID]])</f>
        <v>46282+DIR-B575F77AAEFE</v>
      </c>
      <c r="F331" s="5"/>
      <c r="G331" s="20" t="s">
        <v>1260</v>
      </c>
      <c r="H331" s="20" t="s">
        <v>1261</v>
      </c>
      <c r="I331" s="5" t="s">
        <v>63</v>
      </c>
      <c r="J331" s="4" t="s">
        <v>30</v>
      </c>
      <c r="K331" s="4" t="str" cm="1">
        <f t="array" ref="K33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331" s="4" t="s">
        <v>607</v>
      </c>
      <c r="M331" s="4" t="s">
        <v>618</v>
      </c>
      <c r="N331" s="4" t="s">
        <v>1700</v>
      </c>
      <c r="O331" s="4" t="s">
        <v>619</v>
      </c>
      <c r="P331" s="6">
        <v>46132</v>
      </c>
      <c r="Q331" s="6">
        <v>46132</v>
      </c>
      <c r="R331" s="5">
        <v>1</v>
      </c>
      <c r="S331" s="5" t="s">
        <v>620</v>
      </c>
      <c r="T331" s="13">
        <v>46142</v>
      </c>
      <c r="U331" s="13">
        <v>46142</v>
      </c>
      <c r="V331" s="5">
        <v>0</v>
      </c>
      <c r="W331" s="22">
        <f>_xlfn.LET(
_xlpm.H,Table1[[#This Row],[Thời hạn mới nhất (Date)]],
_xlpm.S,Table1[[#This Row],[Snapshot]],
IF(
    ISNUMBER(_xlpm.H),
    INT(_xlpm.H)-INT(_xlpm.S),
    "Không giao thời hạn"
))</f>
        <v>-140</v>
      </c>
      <c r="X331" s="4" t="s">
        <v>621</v>
      </c>
      <c r="Y331" s="5"/>
      <c r="Z331" s="5"/>
      <c r="AA331" s="5" t="s">
        <v>35</v>
      </c>
      <c r="AB331" s="4" t="s">
        <v>622</v>
      </c>
      <c r="AC331" s="6">
        <v>46264</v>
      </c>
      <c r="AD331" s="6">
        <v>46264</v>
      </c>
      <c r="AE331" s="4">
        <v>0</v>
      </c>
      <c r="AF331" s="26">
        <f>_xlfn.LET(
_xlpm.H,Table1[[#This Row],[Thời hạn mới nhất (Date)]],
_xlpm.D,Table1[[#This Row],[Dự kiến mới nhất (Date)]],
IF(
NOT(ISNUMBER(_xlpm.H)),"Không giao thời hạn",
IF(
NOT(ISNUMBER(_xlpm.D)),"Chưa có dự kiến",
_xlpm.D-_xlpm.H
)))</f>
        <v>122</v>
      </c>
    </row>
    <row r="332" spans="1:32" ht="174.9" x14ac:dyDescent="0.4">
      <c r="A332" s="44">
        <v>46275</v>
      </c>
      <c r="B332" s="4" t="s">
        <v>617</v>
      </c>
      <c r="C332" s="5" t="s">
        <v>607</v>
      </c>
      <c r="D332" s="5">
        <v>16</v>
      </c>
      <c r="E332" s="5" t="str">
        <f>_xlfn.TEXTJOIN("+",TRUE,Table1[[#This Row],[Snapshot]:[ID]])</f>
        <v>46275+DIR-B575F77AAEFE</v>
      </c>
      <c r="F332" s="5"/>
      <c r="G332" s="20" t="s">
        <v>1262</v>
      </c>
      <c r="H332" s="20" t="s">
        <v>1263</v>
      </c>
      <c r="I332" s="5" t="s">
        <v>63</v>
      </c>
      <c r="J332" s="4" t="s">
        <v>30</v>
      </c>
      <c r="K332" s="4" t="str" cm="1">
        <f t="array" ref="K33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332" s="4" t="s">
        <v>607</v>
      </c>
      <c r="M332" s="4" t="s">
        <v>618</v>
      </c>
      <c r="N332" s="4" t="s">
        <v>1700</v>
      </c>
      <c r="O332" s="4" t="s">
        <v>619</v>
      </c>
      <c r="P332" s="6">
        <v>46132</v>
      </c>
      <c r="Q332" s="6">
        <v>46132</v>
      </c>
      <c r="R332" s="5">
        <v>1</v>
      </c>
      <c r="S332" s="5" t="s">
        <v>620</v>
      </c>
      <c r="T332" s="13">
        <v>46142</v>
      </c>
      <c r="U332" s="13">
        <v>46142</v>
      </c>
      <c r="V332" s="5">
        <v>0</v>
      </c>
      <c r="W332" s="22">
        <f>_xlfn.LET(
_xlpm.H,Table1[[#This Row],[Thời hạn mới nhất (Date)]],
_xlpm.S,Table1[[#This Row],[Snapshot]],
IF(
    ISNUMBER(_xlpm.H),
    INT(_xlpm.H)-INT(_xlpm.S),
    "Không giao thời hạn"
))</f>
        <v>-133</v>
      </c>
      <c r="X332" s="4" t="s">
        <v>621</v>
      </c>
      <c r="Y332" s="5"/>
      <c r="Z332" s="5"/>
      <c r="AA332" s="5" t="s">
        <v>35</v>
      </c>
      <c r="AB332" s="4" t="s">
        <v>622</v>
      </c>
      <c r="AC332" s="6">
        <v>46264</v>
      </c>
      <c r="AD332" s="6">
        <v>46264</v>
      </c>
      <c r="AE332" s="4">
        <v>0</v>
      </c>
      <c r="AF332" s="26">
        <f>_xlfn.LET(
_xlpm.H,Table1[[#This Row],[Thời hạn mới nhất (Date)]],
_xlpm.D,Table1[[#This Row],[Dự kiến mới nhất (Date)]],
IF(
NOT(ISNUMBER(_xlpm.H)),"Không giao thời hạn",
IF(
NOT(ISNUMBER(_xlpm.D)),"Chưa có dự kiến",
_xlpm.D-_xlpm.H
)))</f>
        <v>122</v>
      </c>
    </row>
    <row r="333" spans="1:32" ht="247.75" x14ac:dyDescent="0.4">
      <c r="A333" s="44">
        <v>46282</v>
      </c>
      <c r="B333" s="4" t="s">
        <v>381</v>
      </c>
      <c r="C333" s="5" t="s">
        <v>352</v>
      </c>
      <c r="D333" s="5">
        <v>21</v>
      </c>
      <c r="E333" s="5" t="str">
        <f>_xlfn.TEXTJOIN("+",TRUE,Table1[[#This Row],[Snapshot]:[ID]])</f>
        <v>46282+DIR-B7FCB4340752</v>
      </c>
      <c r="F333" s="5"/>
      <c r="G333" s="20" t="s">
        <v>1264</v>
      </c>
      <c r="H333" s="20" t="s">
        <v>1265</v>
      </c>
      <c r="I333" s="5" t="s">
        <v>89</v>
      </c>
      <c r="J333" s="4" t="s">
        <v>30</v>
      </c>
      <c r="K333" s="4" t="str" cm="1">
        <f t="array" ref="K33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333" s="4" t="s">
        <v>352</v>
      </c>
      <c r="M333" s="4" t="s">
        <v>382</v>
      </c>
      <c r="N333" s="4" t="s">
        <v>1702</v>
      </c>
      <c r="O333" s="4" t="s">
        <v>383</v>
      </c>
      <c r="P333" s="6">
        <v>46109</v>
      </c>
      <c r="Q333" s="6">
        <v>46109</v>
      </c>
      <c r="R333" s="5">
        <v>1</v>
      </c>
      <c r="S333" s="5" t="s">
        <v>384</v>
      </c>
      <c r="T333" s="13">
        <v>46173</v>
      </c>
      <c r="U333" s="13">
        <v>46173</v>
      </c>
      <c r="V333" s="5">
        <v>0</v>
      </c>
      <c r="W333" s="22">
        <f>_xlfn.LET(
_xlpm.H,Table1[[#This Row],[Thời hạn mới nhất (Date)]],
_xlpm.S,Table1[[#This Row],[Snapshot]],
IF(
    ISNUMBER(_xlpm.H),
    INT(_xlpm.H)-INT(_xlpm.S),
    "Không giao thời hạn"
))</f>
        <v>-109</v>
      </c>
      <c r="X333" s="4" t="s">
        <v>931</v>
      </c>
      <c r="Y333" s="5"/>
      <c r="Z333" s="5" t="s">
        <v>35</v>
      </c>
      <c r="AA333" s="5"/>
      <c r="AB333" s="4" t="s">
        <v>932</v>
      </c>
      <c r="AC333" s="6">
        <v>46387</v>
      </c>
      <c r="AD333" s="6">
        <v>46752</v>
      </c>
      <c r="AE333" s="4">
        <v>1</v>
      </c>
      <c r="AF333" s="26">
        <f>_xlfn.LET(
_xlpm.H,Table1[[#This Row],[Thời hạn mới nhất (Date)]],
_xlpm.D,Table1[[#This Row],[Dự kiến mới nhất (Date)]],
IF(
NOT(ISNUMBER(_xlpm.H)),"Không giao thời hạn",
IF(
NOT(ISNUMBER(_xlpm.D)),"Chưa có dự kiến",
_xlpm.D-_xlpm.H
)))</f>
        <v>579</v>
      </c>
    </row>
    <row r="334" spans="1:32" ht="247.75" x14ac:dyDescent="0.4">
      <c r="A334" s="44">
        <v>46275</v>
      </c>
      <c r="B334" s="4" t="s">
        <v>381</v>
      </c>
      <c r="C334" s="5" t="s">
        <v>352</v>
      </c>
      <c r="D334" s="5">
        <v>22</v>
      </c>
      <c r="E334" s="5" t="str">
        <f>_xlfn.TEXTJOIN("+",TRUE,Table1[[#This Row],[Snapshot]:[ID]])</f>
        <v>46275+DIR-B7FCB4340752</v>
      </c>
      <c r="F334" s="5"/>
      <c r="G334" s="5" t="s">
        <v>1993</v>
      </c>
      <c r="H334" s="20" t="s">
        <v>1994</v>
      </c>
      <c r="I334" s="5" t="s">
        <v>93</v>
      </c>
      <c r="J334" s="4" t="s">
        <v>30</v>
      </c>
      <c r="K334" s="4" t="str" cm="1">
        <f t="array" ref="K33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334" s="4" t="s">
        <v>352</v>
      </c>
      <c r="M334" s="4" t="s">
        <v>382</v>
      </c>
      <c r="N334" s="4" t="s">
        <v>1702</v>
      </c>
      <c r="O334" s="4" t="s">
        <v>383</v>
      </c>
      <c r="P334" s="6">
        <v>46109</v>
      </c>
      <c r="Q334" s="6">
        <v>46109</v>
      </c>
      <c r="R334" s="5">
        <v>1</v>
      </c>
      <c r="S334" s="5" t="s">
        <v>384</v>
      </c>
      <c r="T334" s="13">
        <v>46173</v>
      </c>
      <c r="U334" s="13">
        <v>46173</v>
      </c>
      <c r="V334" s="5">
        <v>0</v>
      </c>
      <c r="W334" s="22">
        <f>_xlfn.LET(
_xlpm.H,Table1[[#This Row],[Thời hạn mới nhất (Date)]],
_xlpm.S,Table1[[#This Row],[Snapshot]],
IF(
    ISNUMBER(_xlpm.H),
    INT(_xlpm.H)-INT(_xlpm.S),
    "Không giao thời hạn"
))</f>
        <v>-102</v>
      </c>
      <c r="X334" s="4" t="s">
        <v>385</v>
      </c>
      <c r="Y334" s="5"/>
      <c r="Z334" s="5" t="s">
        <v>35</v>
      </c>
      <c r="AA334" s="5"/>
      <c r="AB334" s="4" t="s">
        <v>386</v>
      </c>
      <c r="AC334" s="6">
        <v>46387</v>
      </c>
      <c r="AD334" s="6">
        <v>46387</v>
      </c>
      <c r="AE334" s="4">
        <v>0</v>
      </c>
      <c r="AF334" s="26">
        <f>_xlfn.LET(
_xlpm.H,Table1[[#This Row],[Thời hạn mới nhất (Date)]],
_xlpm.D,Table1[[#This Row],[Dự kiến mới nhất (Date)]],
IF(
NOT(ISNUMBER(_xlpm.H)),"Không giao thời hạn",
IF(
NOT(ISNUMBER(_xlpm.D)),"Chưa có dự kiến",
_xlpm.D-_xlpm.H
)))</f>
        <v>214</v>
      </c>
    </row>
    <row r="335" spans="1:32" ht="189.45" x14ac:dyDescent="0.4">
      <c r="A335" s="44">
        <v>46282</v>
      </c>
      <c r="B335" s="4" t="s">
        <v>990</v>
      </c>
      <c r="C335" s="5" t="s">
        <v>688</v>
      </c>
      <c r="D335" s="5">
        <v>62</v>
      </c>
      <c r="E335" s="5" t="str">
        <f>_xlfn.TEXTJOIN("+",TRUE,Table1[[#This Row],[Snapshot]:[ID]])</f>
        <v>46282+DIR-B872BFE5F967</v>
      </c>
      <c r="F335" s="5"/>
      <c r="G335" s="5" t="s">
        <v>1995</v>
      </c>
      <c r="H335" s="20" t="s">
        <v>1996</v>
      </c>
      <c r="I335" s="5" t="s">
        <v>842</v>
      </c>
      <c r="J335" s="4" t="s">
        <v>689</v>
      </c>
      <c r="K335" s="4" t="str" cm="1">
        <f t="array" ref="K33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24. Hệ sinh thái Giáo dục và Tài chính Giáo dục</v>
      </c>
      <c r="L335" s="4" t="s">
        <v>688</v>
      </c>
      <c r="M335" s="4" t="s">
        <v>991</v>
      </c>
      <c r="N335" s="4" t="s">
        <v>1727</v>
      </c>
      <c r="O335" s="4" t="s">
        <v>906</v>
      </c>
      <c r="P335" s="6">
        <v>46277</v>
      </c>
      <c r="Q335" s="6">
        <v>46277</v>
      </c>
      <c r="R335" s="5">
        <v>1</v>
      </c>
      <c r="S335" s="5" t="s">
        <v>907</v>
      </c>
      <c r="T335" s="13">
        <v>46285</v>
      </c>
      <c r="U335" s="13">
        <v>46285</v>
      </c>
      <c r="V335" s="5">
        <v>0</v>
      </c>
      <c r="W335" s="22">
        <f>_xlfn.LET(
_xlpm.H,Table1[[#This Row],[Thời hạn mới nhất (Date)]],
_xlpm.S,Table1[[#This Row],[Snapshot]],
IF(
    ISNUMBER(_xlpm.H),
    INT(_xlpm.H)-INT(_xlpm.S),
    "Không giao thời hạn"
))</f>
        <v>3</v>
      </c>
      <c r="X335" s="4" t="s">
        <v>992</v>
      </c>
      <c r="Y335" s="5"/>
      <c r="Z335" s="5" t="s">
        <v>194</v>
      </c>
      <c r="AA335" s="5"/>
      <c r="AB335" s="4"/>
      <c r="AC335" s="6"/>
      <c r="AD335" s="6"/>
      <c r="AE335" s="4">
        <v>0</v>
      </c>
      <c r="AF335" s="26" t="str">
        <f>_xlfn.LET(
_xlpm.H,Table1[[#This Row],[Thời hạn mới nhất (Date)]],
_xlpm.D,Table1[[#This Row],[Dự kiến mới nhất (Date)]],
IF(
NOT(ISNUMBER(_xlpm.H)),"Không giao thời hạn",
IF(
NOT(ISNUMBER(_xlpm.D)),"Chưa có dự kiến",
_xlpm.D-_xlpm.H
)))</f>
        <v>Chưa có dự kiến</v>
      </c>
    </row>
    <row r="336" spans="1:32" ht="204" x14ac:dyDescent="0.4">
      <c r="A336" s="44">
        <v>46282</v>
      </c>
      <c r="B336" s="4" t="s">
        <v>734</v>
      </c>
      <c r="C336" s="5" t="s">
        <v>688</v>
      </c>
      <c r="D336" s="5">
        <v>30</v>
      </c>
      <c r="E336" s="5" t="str">
        <f>_xlfn.TEXTJOIN("+",TRUE,Table1[[#This Row],[Snapshot]:[ID]])</f>
        <v>46282+DIR-B927EB9BFD53</v>
      </c>
      <c r="F336" s="5"/>
      <c r="G336" s="5" t="s">
        <v>1997</v>
      </c>
      <c r="H336" s="20" t="s">
        <v>1998</v>
      </c>
      <c r="I336" s="5" t="s">
        <v>106</v>
      </c>
      <c r="J336" s="4" t="s">
        <v>689</v>
      </c>
      <c r="K336" s="4" t="str" cm="1">
        <f t="array" ref="K33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336" s="4" t="s">
        <v>688</v>
      </c>
      <c r="M336" s="4" t="s">
        <v>735</v>
      </c>
      <c r="N336" s="4" t="s">
        <v>1696</v>
      </c>
      <c r="O336" s="4" t="s">
        <v>65</v>
      </c>
      <c r="P336" s="6">
        <v>46216</v>
      </c>
      <c r="Q336" s="6">
        <v>46216</v>
      </c>
      <c r="R336" s="5">
        <v>1</v>
      </c>
      <c r="S336" s="5" t="s">
        <v>732</v>
      </c>
      <c r="T336" s="13">
        <v>46223</v>
      </c>
      <c r="U336" s="13">
        <v>46223</v>
      </c>
      <c r="V336" s="5">
        <v>0</v>
      </c>
      <c r="W336" s="22">
        <f>_xlfn.LET(
_xlpm.H,Table1[[#This Row],[Thời hạn mới nhất (Date)]],
_xlpm.S,Table1[[#This Row],[Snapshot]],
IF(
    ISNUMBER(_xlpm.H),
    INT(_xlpm.H)-INT(_xlpm.S),
    "Không giao thời hạn"
))</f>
        <v>-59</v>
      </c>
      <c r="X336" s="4" t="s">
        <v>972</v>
      </c>
      <c r="Y336" s="5"/>
      <c r="Z336" s="5" t="s">
        <v>35</v>
      </c>
      <c r="AA336" s="5"/>
      <c r="AB336" s="4" t="s">
        <v>737</v>
      </c>
      <c r="AC336" s="6">
        <v>46286</v>
      </c>
      <c r="AD336" s="6">
        <v>46286</v>
      </c>
      <c r="AE336" s="4">
        <v>0</v>
      </c>
      <c r="AF336" s="26">
        <f>_xlfn.LET(
_xlpm.H,Table1[[#This Row],[Thời hạn mới nhất (Date)]],
_xlpm.D,Table1[[#This Row],[Dự kiến mới nhất (Date)]],
IF(
NOT(ISNUMBER(_xlpm.H)),"Không giao thời hạn",
IF(
NOT(ISNUMBER(_xlpm.D)),"Chưa có dự kiến",
_xlpm.D-_xlpm.H
)))</f>
        <v>63</v>
      </c>
    </row>
    <row r="337" spans="1:32" ht="174.9" x14ac:dyDescent="0.4">
      <c r="A337" s="44">
        <v>46275</v>
      </c>
      <c r="B337" s="4" t="s">
        <v>734</v>
      </c>
      <c r="C337" s="5" t="s">
        <v>688</v>
      </c>
      <c r="D337" s="5">
        <v>30</v>
      </c>
      <c r="E337" s="5" t="str">
        <f>_xlfn.TEXTJOIN("+",TRUE,Table1[[#This Row],[Snapshot]:[ID]])</f>
        <v>46275+DIR-B927EB9BFD53</v>
      </c>
      <c r="F337" s="5"/>
      <c r="G337" s="5" t="s">
        <v>1999</v>
      </c>
      <c r="H337" s="20" t="s">
        <v>2000</v>
      </c>
      <c r="I337" s="5" t="s">
        <v>106</v>
      </c>
      <c r="J337" s="4" t="s">
        <v>689</v>
      </c>
      <c r="K337" s="4" t="str" cm="1">
        <f t="array" ref="K33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337" s="4" t="s">
        <v>688</v>
      </c>
      <c r="M337" s="4" t="s">
        <v>735</v>
      </c>
      <c r="N337" s="4" t="s">
        <v>1696</v>
      </c>
      <c r="O337" s="4" t="s">
        <v>65</v>
      </c>
      <c r="P337" s="6">
        <v>46216</v>
      </c>
      <c r="Q337" s="6">
        <v>46216</v>
      </c>
      <c r="R337" s="5">
        <v>1</v>
      </c>
      <c r="S337" s="5" t="s">
        <v>732</v>
      </c>
      <c r="T337" s="13">
        <v>46223</v>
      </c>
      <c r="U337" s="13">
        <v>46223</v>
      </c>
      <c r="V337" s="5">
        <v>0</v>
      </c>
      <c r="W337" s="22">
        <f>_xlfn.LET(
_xlpm.H,Table1[[#This Row],[Thời hạn mới nhất (Date)]],
_xlpm.S,Table1[[#This Row],[Snapshot]],
IF(
    ISNUMBER(_xlpm.H),
    INT(_xlpm.H)-INT(_xlpm.S),
    "Không giao thời hạn"
))</f>
        <v>-52</v>
      </c>
      <c r="X337" s="4" t="s">
        <v>736</v>
      </c>
      <c r="Y337" s="5"/>
      <c r="Z337" s="5" t="s">
        <v>35</v>
      </c>
      <c r="AA337" s="5"/>
      <c r="AB337" s="4" t="s">
        <v>737</v>
      </c>
      <c r="AC337" s="6">
        <v>46286</v>
      </c>
      <c r="AD337" s="6">
        <v>46286</v>
      </c>
      <c r="AE337" s="4">
        <v>0</v>
      </c>
      <c r="AF337" s="26">
        <f>_xlfn.LET(
_xlpm.H,Table1[[#This Row],[Thời hạn mới nhất (Date)]],
_xlpm.D,Table1[[#This Row],[Dự kiến mới nhất (Date)]],
IF(
NOT(ISNUMBER(_xlpm.H)),"Không giao thời hạn",
IF(
NOT(ISNUMBER(_xlpm.D)),"Chưa có dự kiến",
_xlpm.D-_xlpm.H
)))</f>
        <v>63</v>
      </c>
    </row>
    <row r="338" spans="1:32" ht="409.6" x14ac:dyDescent="0.4">
      <c r="A338" s="44">
        <v>46282</v>
      </c>
      <c r="B338" s="4" t="s">
        <v>207</v>
      </c>
      <c r="C338" s="5" t="s">
        <v>44</v>
      </c>
      <c r="D338" s="5">
        <v>46</v>
      </c>
      <c r="E338" s="5" t="str">
        <f>_xlfn.TEXTJOIN("+",TRUE,Table1[[#This Row],[Snapshot]:[ID]])</f>
        <v>46282+DIR-B9E6C4A29CF6</v>
      </c>
      <c r="F338" s="5"/>
      <c r="G338" s="5" t="s">
        <v>1422</v>
      </c>
      <c r="H338" s="20" t="s">
        <v>1423</v>
      </c>
      <c r="I338" s="5" t="s">
        <v>57</v>
      </c>
      <c r="J338" s="4" t="s">
        <v>200</v>
      </c>
      <c r="K338" s="4" t="str" cm="1">
        <f t="array" ref="K33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338" s="4" t="s">
        <v>44</v>
      </c>
      <c r="M338" s="4" t="s">
        <v>208</v>
      </c>
      <c r="N338" s="4" t="s">
        <v>1703</v>
      </c>
      <c r="O338" s="4" t="s">
        <v>209</v>
      </c>
      <c r="P338" s="6">
        <v>46081</v>
      </c>
      <c r="Q338" s="6">
        <v>46081</v>
      </c>
      <c r="R338" s="5">
        <v>1</v>
      </c>
      <c r="S338" s="5"/>
      <c r="T338" s="13"/>
      <c r="U338" s="13"/>
      <c r="V338" s="5">
        <v>0</v>
      </c>
      <c r="W338" s="22" t="str">
        <f>_xlfn.LET(
_xlpm.H,Table1[[#This Row],[Thời hạn mới nhất (Date)]],
_xlpm.S,Table1[[#This Row],[Snapshot]],
IF(
    ISNUMBER(_xlpm.H),
    INT(_xlpm.H)-INT(_xlpm.S),
    "Không giao thời hạn"
))</f>
        <v>Không giao thời hạn</v>
      </c>
      <c r="X338" s="4" t="s">
        <v>210</v>
      </c>
      <c r="Y338" s="5"/>
      <c r="Z338" s="5" t="s">
        <v>35</v>
      </c>
      <c r="AA338" s="5"/>
      <c r="AB338" s="4" t="s">
        <v>50</v>
      </c>
      <c r="AC338" s="6"/>
      <c r="AD338" s="6"/>
      <c r="AE338" s="4">
        <v>0</v>
      </c>
      <c r="AF338" s="26" t="str">
        <f>_xlfn.LET(
_xlpm.H,Table1[[#This Row],[Thời hạn mới nhất (Date)]],
_xlpm.D,Table1[[#This Row],[Dự kiến mới nhất (Date)]],
IF(
NOT(ISNUMBER(_xlpm.H)),"Không giao thời hạn",
IF(
NOT(ISNUMBER(_xlpm.D)),"Chưa có dự kiến",
_xlpm.D-_xlpm.H
)))</f>
        <v>Không giao thời hạn</v>
      </c>
    </row>
    <row r="339" spans="1:32" ht="409.6" x14ac:dyDescent="0.4">
      <c r="A339" s="44">
        <v>46275</v>
      </c>
      <c r="B339" s="4" t="s">
        <v>207</v>
      </c>
      <c r="C339" s="5" t="s">
        <v>44</v>
      </c>
      <c r="D339" s="5">
        <v>47</v>
      </c>
      <c r="E339" s="5" t="str">
        <f>_xlfn.TEXTJOIN("+",TRUE,Table1[[#This Row],[Snapshot]:[ID]])</f>
        <v>46275+DIR-B9E6C4A29CF6</v>
      </c>
      <c r="F339" s="5"/>
      <c r="G339" s="5" t="s">
        <v>1422</v>
      </c>
      <c r="H339" s="20" t="s">
        <v>1423</v>
      </c>
      <c r="I339" s="5" t="s">
        <v>57</v>
      </c>
      <c r="J339" s="4" t="s">
        <v>200</v>
      </c>
      <c r="K339" s="4" t="str" cm="1">
        <f t="array" ref="K33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339" s="4" t="s">
        <v>44</v>
      </c>
      <c r="M339" s="4" t="s">
        <v>208</v>
      </c>
      <c r="N339" s="4" t="s">
        <v>1703</v>
      </c>
      <c r="O339" s="4" t="s">
        <v>209</v>
      </c>
      <c r="P339" s="6">
        <v>46081</v>
      </c>
      <c r="Q339" s="6">
        <v>46081</v>
      </c>
      <c r="R339" s="5">
        <v>1</v>
      </c>
      <c r="S339" s="5"/>
      <c r="T339" s="13"/>
      <c r="U339" s="13"/>
      <c r="V339" s="5">
        <v>0</v>
      </c>
      <c r="W339" s="22" t="str">
        <f>_xlfn.LET(
_xlpm.H,Table1[[#This Row],[Thời hạn mới nhất (Date)]],
_xlpm.S,Table1[[#This Row],[Snapshot]],
IF(
    ISNUMBER(_xlpm.H),
    INT(_xlpm.H)-INT(_xlpm.S),
    "Không giao thời hạn"
))</f>
        <v>Không giao thời hạn</v>
      </c>
      <c r="X339" s="4" t="s">
        <v>210</v>
      </c>
      <c r="Y339" s="5"/>
      <c r="Z339" s="5" t="s">
        <v>35</v>
      </c>
      <c r="AA339" s="5"/>
      <c r="AB339" s="4" t="s">
        <v>50</v>
      </c>
      <c r="AC339" s="6"/>
      <c r="AD339" s="6"/>
      <c r="AE339" s="4">
        <v>0</v>
      </c>
      <c r="AF339" s="26" t="str">
        <f>_xlfn.LET(
_xlpm.H,Table1[[#This Row],[Thời hạn mới nhất (Date)]],
_xlpm.D,Table1[[#This Row],[Dự kiến mới nhất (Date)]],
IF(
NOT(ISNUMBER(_xlpm.H)),"Không giao thời hạn",
IF(
NOT(ISNUMBER(_xlpm.D)),"Chưa có dự kiến",
_xlpm.D-_xlpm.H
)))</f>
        <v>Không giao thời hạn</v>
      </c>
    </row>
    <row r="340" spans="1:32" ht="160.30000000000001" x14ac:dyDescent="0.4">
      <c r="A340" s="44">
        <v>46282</v>
      </c>
      <c r="B340" s="4" t="s">
        <v>751</v>
      </c>
      <c r="C340" s="5" t="s">
        <v>688</v>
      </c>
      <c r="D340" s="5">
        <v>36</v>
      </c>
      <c r="E340" s="5" t="str">
        <f>_xlfn.TEXTJOIN("+",TRUE,Table1[[#This Row],[Snapshot]:[ID]])</f>
        <v>46282+DIR-BA289BCF11BE</v>
      </c>
      <c r="F340" s="5"/>
      <c r="G340" s="5" t="s">
        <v>1454</v>
      </c>
      <c r="H340" s="20" t="s">
        <v>1455</v>
      </c>
      <c r="I340" s="5" t="s">
        <v>135</v>
      </c>
      <c r="J340" s="4" t="s">
        <v>689</v>
      </c>
      <c r="K340" s="4" t="str" cm="1">
        <f t="array" ref="K34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340" s="4" t="s">
        <v>688</v>
      </c>
      <c r="M340" s="4" t="s">
        <v>86</v>
      </c>
      <c r="N340" s="4" t="s">
        <v>1696</v>
      </c>
      <c r="O340" s="4" t="s">
        <v>71</v>
      </c>
      <c r="P340" s="6">
        <v>46235</v>
      </c>
      <c r="Q340" s="6">
        <v>46235</v>
      </c>
      <c r="R340" s="5">
        <v>1</v>
      </c>
      <c r="S340" s="5" t="s">
        <v>77</v>
      </c>
      <c r="T340" s="13">
        <v>46295</v>
      </c>
      <c r="U340" s="13">
        <v>46295</v>
      </c>
      <c r="V340" s="5">
        <v>0</v>
      </c>
      <c r="W340" s="22">
        <f>_xlfn.LET(
_xlpm.H,Table1[[#This Row],[Thời hạn mới nhất (Date)]],
_xlpm.S,Table1[[#This Row],[Snapshot]],
IF(
    ISNUMBER(_xlpm.H),
    INT(_xlpm.H)-INT(_xlpm.S),
    "Không giao thời hạn"
))</f>
        <v>13</v>
      </c>
      <c r="X340" s="4" t="s">
        <v>752</v>
      </c>
      <c r="Y340" s="5"/>
      <c r="Z340" s="5" t="s">
        <v>35</v>
      </c>
      <c r="AA340" s="5"/>
      <c r="AB340" s="4"/>
      <c r="AC340" s="6"/>
      <c r="AD340" s="6"/>
      <c r="AE340" s="4">
        <v>0</v>
      </c>
      <c r="AF340" s="26" t="str">
        <f>_xlfn.LET(
_xlpm.H,Table1[[#This Row],[Thời hạn mới nhất (Date)]],
_xlpm.D,Table1[[#This Row],[Dự kiến mới nhất (Date)]],
IF(
NOT(ISNUMBER(_xlpm.H)),"Không giao thời hạn",
IF(
NOT(ISNUMBER(_xlpm.D)),"Chưa có dự kiến",
_xlpm.D-_xlpm.H
)))</f>
        <v>Chưa có dự kiến</v>
      </c>
    </row>
    <row r="341" spans="1:32" ht="131.15" x14ac:dyDescent="0.4">
      <c r="A341" s="44">
        <v>46275</v>
      </c>
      <c r="B341" s="4" t="s">
        <v>751</v>
      </c>
      <c r="C341" s="5" t="s">
        <v>688</v>
      </c>
      <c r="D341" s="5">
        <v>36</v>
      </c>
      <c r="E341" s="5" t="str">
        <f>_xlfn.TEXTJOIN("+",TRUE,Table1[[#This Row],[Snapshot]:[ID]])</f>
        <v>46275+DIR-BA289BCF11BE</v>
      </c>
      <c r="F341" s="5"/>
      <c r="G341" s="5" t="s">
        <v>1456</v>
      </c>
      <c r="H341" s="20" t="s">
        <v>1457</v>
      </c>
      <c r="I341" s="5" t="s">
        <v>135</v>
      </c>
      <c r="J341" s="4" t="s">
        <v>689</v>
      </c>
      <c r="K341" s="4" t="str" cm="1">
        <f t="array" ref="K34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341" s="4" t="s">
        <v>688</v>
      </c>
      <c r="M341" s="4" t="s">
        <v>86</v>
      </c>
      <c r="N341" s="4" t="s">
        <v>1696</v>
      </c>
      <c r="O341" s="4" t="s">
        <v>71</v>
      </c>
      <c r="P341" s="6">
        <v>46235</v>
      </c>
      <c r="Q341" s="6">
        <v>46235</v>
      </c>
      <c r="R341" s="5">
        <v>1</v>
      </c>
      <c r="S341" s="5" t="s">
        <v>77</v>
      </c>
      <c r="T341" s="13">
        <v>46295</v>
      </c>
      <c r="U341" s="13">
        <v>46295</v>
      </c>
      <c r="V341" s="5">
        <v>0</v>
      </c>
      <c r="W341" s="22">
        <f>_xlfn.LET(
_xlpm.H,Table1[[#This Row],[Thời hạn mới nhất (Date)]],
_xlpm.S,Table1[[#This Row],[Snapshot]],
IF(
    ISNUMBER(_xlpm.H),
    INT(_xlpm.H)-INT(_xlpm.S),
    "Không giao thời hạn"
))</f>
        <v>20</v>
      </c>
      <c r="X341" s="4" t="s">
        <v>752</v>
      </c>
      <c r="Y341" s="5"/>
      <c r="Z341" s="5" t="s">
        <v>35</v>
      </c>
      <c r="AA341" s="5"/>
      <c r="AB341" s="4"/>
      <c r="AC341" s="6"/>
      <c r="AD341" s="6"/>
      <c r="AE341" s="4">
        <v>0</v>
      </c>
      <c r="AF341" s="26" t="str">
        <f>_xlfn.LET(
_xlpm.H,Table1[[#This Row],[Thời hạn mới nhất (Date)]],
_xlpm.D,Table1[[#This Row],[Dự kiến mới nhất (Date)]],
IF(
NOT(ISNUMBER(_xlpm.H)),"Không giao thời hạn",
IF(
NOT(ISNUMBER(_xlpm.D)),"Chưa có dự kiến",
_xlpm.D-_xlpm.H
)))</f>
        <v>Chưa có dự kiến</v>
      </c>
    </row>
    <row r="342" spans="1:32" ht="116.6" x14ac:dyDescent="0.4">
      <c r="A342" s="44">
        <v>46282</v>
      </c>
      <c r="B342" s="4" t="s">
        <v>833</v>
      </c>
      <c r="C342" s="5" t="s">
        <v>688</v>
      </c>
      <c r="D342" s="5">
        <v>57</v>
      </c>
      <c r="E342" s="5" t="str">
        <f>_xlfn.TEXTJOIN("+",TRUE,Table1[[#This Row],[Snapshot]:[ID]])</f>
        <v>46282+DIR-BC8D7750BAC2</v>
      </c>
      <c r="F342" s="5"/>
      <c r="G342" s="20" t="s">
        <v>1382</v>
      </c>
      <c r="H342" s="20" t="s">
        <v>1383</v>
      </c>
      <c r="I342" s="5" t="s">
        <v>823</v>
      </c>
      <c r="J342" s="4" t="s">
        <v>689</v>
      </c>
      <c r="K342" s="4" t="str" cm="1">
        <f t="array" ref="K34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342" s="4" t="s">
        <v>688</v>
      </c>
      <c r="M342" s="4" t="s">
        <v>510</v>
      </c>
      <c r="N342" s="4" t="s">
        <v>1696</v>
      </c>
      <c r="O342" s="4" t="s">
        <v>181</v>
      </c>
      <c r="P342" s="6">
        <v>46270</v>
      </c>
      <c r="Q342" s="6">
        <v>46270</v>
      </c>
      <c r="R342" s="5">
        <v>1</v>
      </c>
      <c r="S342" s="5"/>
      <c r="T342" s="13"/>
      <c r="U342" s="13"/>
      <c r="V342" s="5">
        <v>0</v>
      </c>
      <c r="W342" s="22" t="str">
        <f>_xlfn.LET(
_xlpm.H,Table1[[#This Row],[Thời hạn mới nhất (Date)]],
_xlpm.S,Table1[[#This Row],[Snapshot]],
IF(
    ISNUMBER(_xlpm.H),
    INT(_xlpm.H)-INT(_xlpm.S),
    "Không giao thời hạn"
))</f>
        <v>Không giao thời hạn</v>
      </c>
      <c r="X342" s="4" t="s">
        <v>835</v>
      </c>
      <c r="Y342" s="5"/>
      <c r="Z342" s="5" t="s">
        <v>35</v>
      </c>
      <c r="AA342" s="5"/>
      <c r="AB342" s="4"/>
      <c r="AC342" s="6"/>
      <c r="AD342" s="6"/>
      <c r="AE342" s="4">
        <v>0</v>
      </c>
      <c r="AF342" s="26" t="str">
        <f>_xlfn.LET(
_xlpm.H,Table1[[#This Row],[Thời hạn mới nhất (Date)]],
_xlpm.D,Table1[[#This Row],[Dự kiến mới nhất (Date)]],
IF(
NOT(ISNUMBER(_xlpm.H)),"Không giao thời hạn",
IF(
NOT(ISNUMBER(_xlpm.D)),"Chưa có dự kiến",
_xlpm.D-_xlpm.H
)))</f>
        <v>Không giao thời hạn</v>
      </c>
    </row>
    <row r="343" spans="1:32" ht="116.6" x14ac:dyDescent="0.4">
      <c r="A343" s="44">
        <v>46275</v>
      </c>
      <c r="B343" s="4" t="s">
        <v>833</v>
      </c>
      <c r="C343" s="5" t="s">
        <v>688</v>
      </c>
      <c r="D343" s="5">
        <v>60</v>
      </c>
      <c r="E343" s="5" t="str">
        <f>_xlfn.TEXTJOIN("+",TRUE,Table1[[#This Row],[Snapshot]:[ID]])</f>
        <v>46275+DIR-BC8D7750BAC2</v>
      </c>
      <c r="F343" s="5"/>
      <c r="G343" s="20" t="s">
        <v>1382</v>
      </c>
      <c r="H343" s="20" t="s">
        <v>1383</v>
      </c>
      <c r="I343" s="5" t="s">
        <v>834</v>
      </c>
      <c r="J343" s="4" t="s">
        <v>689</v>
      </c>
      <c r="K343" s="4" t="str" cm="1">
        <f t="array" ref="K34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343" s="4" t="s">
        <v>688</v>
      </c>
      <c r="M343" s="4" t="s">
        <v>510</v>
      </c>
      <c r="N343" s="4" t="s">
        <v>1696</v>
      </c>
      <c r="O343" s="4" t="s">
        <v>181</v>
      </c>
      <c r="P343" s="6">
        <v>46270</v>
      </c>
      <c r="Q343" s="6">
        <v>46270</v>
      </c>
      <c r="R343" s="5">
        <v>1</v>
      </c>
      <c r="S343" s="5"/>
      <c r="T343" s="13"/>
      <c r="U343" s="13"/>
      <c r="V343" s="5">
        <v>0</v>
      </c>
      <c r="W343" s="22" t="str">
        <f>_xlfn.LET(
_xlpm.H,Table1[[#This Row],[Thời hạn mới nhất (Date)]],
_xlpm.S,Table1[[#This Row],[Snapshot]],
IF(
    ISNUMBER(_xlpm.H),
    INT(_xlpm.H)-INT(_xlpm.S),
    "Không giao thời hạn"
))</f>
        <v>Không giao thời hạn</v>
      </c>
      <c r="X343" s="4" t="s">
        <v>835</v>
      </c>
      <c r="Y343" s="5"/>
      <c r="Z343" s="5" t="s">
        <v>194</v>
      </c>
      <c r="AA343" s="5"/>
      <c r="AB343" s="4"/>
      <c r="AC343" s="6"/>
      <c r="AD343" s="6"/>
      <c r="AE343" s="4">
        <v>0</v>
      </c>
      <c r="AF343" s="26" t="str">
        <f>_xlfn.LET(
_xlpm.H,Table1[[#This Row],[Thời hạn mới nhất (Date)]],
_xlpm.D,Table1[[#This Row],[Dự kiến mới nhất (Date)]],
IF(
NOT(ISNUMBER(_xlpm.H)),"Không giao thời hạn",
IF(
NOT(ISNUMBER(_xlpm.D)),"Chưa có dự kiến",
_xlpm.D-_xlpm.H
)))</f>
        <v>Không giao thời hạn</v>
      </c>
    </row>
    <row r="344" spans="1:32" ht="131.15" x14ac:dyDescent="0.4">
      <c r="A344" s="44">
        <v>46282</v>
      </c>
      <c r="B344" s="4" t="s">
        <v>302</v>
      </c>
      <c r="C344" s="5" t="s">
        <v>297</v>
      </c>
      <c r="D344" s="5">
        <v>14</v>
      </c>
      <c r="E344" s="5" t="str">
        <f>_xlfn.TEXTJOIN("+",TRUE,Table1[[#This Row],[Snapshot]:[ID]])</f>
        <v>46282+DIR-BD2DCF0DD34C</v>
      </c>
      <c r="F344" s="5"/>
      <c r="G344" s="5" t="s">
        <v>1224</v>
      </c>
      <c r="H344" s="20" t="s">
        <v>1225</v>
      </c>
      <c r="I344" s="5" t="s">
        <v>52</v>
      </c>
      <c r="J344" s="4" t="s">
        <v>30</v>
      </c>
      <c r="K344" s="4" t="str" cm="1">
        <f t="array" ref="K34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344" s="4" t="s">
        <v>297</v>
      </c>
      <c r="M344" s="4" t="s">
        <v>303</v>
      </c>
      <c r="N344" s="4" t="s">
        <v>1701</v>
      </c>
      <c r="O344" s="4" t="s">
        <v>304</v>
      </c>
      <c r="P344" s="6">
        <v>46031</v>
      </c>
      <c r="Q344" s="6">
        <v>46095</v>
      </c>
      <c r="R344" s="5">
        <v>2</v>
      </c>
      <c r="S344" s="5"/>
      <c r="T344" s="13"/>
      <c r="U344" s="13"/>
      <c r="V344" s="5">
        <v>0</v>
      </c>
      <c r="W344" s="22" t="str">
        <f>_xlfn.LET(
_xlpm.H,Table1[[#This Row],[Thời hạn mới nhất (Date)]],
_xlpm.S,Table1[[#This Row],[Snapshot]],
IF(
    ISNUMBER(_xlpm.H),
    INT(_xlpm.H)-INT(_xlpm.S),
    "Không giao thời hạn"
))</f>
        <v>Không giao thời hạn</v>
      </c>
      <c r="X344" s="4" t="s">
        <v>916</v>
      </c>
      <c r="Y344" s="5"/>
      <c r="Z344" s="5" t="s">
        <v>35</v>
      </c>
      <c r="AA344" s="5"/>
      <c r="AB344" s="4" t="s">
        <v>50</v>
      </c>
      <c r="AC344" s="6"/>
      <c r="AD344" s="6"/>
      <c r="AE344" s="4">
        <v>0</v>
      </c>
      <c r="AF344" s="26" t="str">
        <f>_xlfn.LET(
_xlpm.H,Table1[[#This Row],[Thời hạn mới nhất (Date)]],
_xlpm.D,Table1[[#This Row],[Dự kiến mới nhất (Date)]],
IF(
NOT(ISNUMBER(_xlpm.H)),"Không giao thời hạn",
IF(
NOT(ISNUMBER(_xlpm.D)),"Chưa có dự kiến",
_xlpm.D-_xlpm.H
)))</f>
        <v>Không giao thời hạn</v>
      </c>
    </row>
    <row r="345" spans="1:32" ht="102" x14ac:dyDescent="0.4">
      <c r="A345" s="44">
        <v>46275</v>
      </c>
      <c r="B345" s="4" t="s">
        <v>302</v>
      </c>
      <c r="C345" s="5" t="s">
        <v>297</v>
      </c>
      <c r="D345" s="5">
        <v>14</v>
      </c>
      <c r="E345" s="5" t="str">
        <f>_xlfn.TEXTJOIN("+",TRUE,Table1[[#This Row],[Snapshot]:[ID]])</f>
        <v>46275+DIR-BD2DCF0DD34C</v>
      </c>
      <c r="F345" s="5"/>
      <c r="G345" s="5" t="s">
        <v>1226</v>
      </c>
      <c r="H345" s="20" t="s">
        <v>1227</v>
      </c>
      <c r="I345" s="5" t="s">
        <v>52</v>
      </c>
      <c r="J345" s="4" t="s">
        <v>30</v>
      </c>
      <c r="K345" s="4" t="str" cm="1">
        <f t="array" ref="K34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345" s="4" t="s">
        <v>297</v>
      </c>
      <c r="M345" s="4" t="s">
        <v>303</v>
      </c>
      <c r="N345" s="4" t="s">
        <v>1701</v>
      </c>
      <c r="O345" s="4" t="s">
        <v>304</v>
      </c>
      <c r="P345" s="6">
        <v>46031</v>
      </c>
      <c r="Q345" s="6">
        <v>46095</v>
      </c>
      <c r="R345" s="5">
        <v>2</v>
      </c>
      <c r="S345" s="5"/>
      <c r="T345" s="13"/>
      <c r="U345" s="13"/>
      <c r="V345" s="5">
        <v>0</v>
      </c>
      <c r="W345" s="22" t="str">
        <f>_xlfn.LET(
_xlpm.H,Table1[[#This Row],[Thời hạn mới nhất (Date)]],
_xlpm.S,Table1[[#This Row],[Snapshot]],
IF(
    ISNUMBER(_xlpm.H),
    INT(_xlpm.H)-INT(_xlpm.S),
    "Không giao thời hạn"
))</f>
        <v>Không giao thời hạn</v>
      </c>
      <c r="X345" s="4" t="s">
        <v>305</v>
      </c>
      <c r="Y345" s="5"/>
      <c r="Z345" s="5" t="s">
        <v>35</v>
      </c>
      <c r="AA345" s="5"/>
      <c r="AB345" s="4" t="s">
        <v>50</v>
      </c>
      <c r="AC345" s="6"/>
      <c r="AD345" s="6"/>
      <c r="AE345" s="4">
        <v>0</v>
      </c>
      <c r="AF345" s="26" t="str">
        <f>_xlfn.LET(
_xlpm.H,Table1[[#This Row],[Thời hạn mới nhất (Date)]],
_xlpm.D,Table1[[#This Row],[Dự kiến mới nhất (Date)]],
IF(
NOT(ISNUMBER(_xlpm.H)),"Không giao thời hạn",
IF(
NOT(ISNUMBER(_xlpm.D)),"Chưa có dự kiến",
_xlpm.D-_xlpm.H
)))</f>
        <v>Không giao thời hạn</v>
      </c>
    </row>
    <row r="346" spans="1:32" ht="160.30000000000001" x14ac:dyDescent="0.4">
      <c r="A346" s="44">
        <v>46282</v>
      </c>
      <c r="B346" s="4" t="s">
        <v>199</v>
      </c>
      <c r="C346" s="5" t="s">
        <v>44</v>
      </c>
      <c r="D346" s="5">
        <v>44</v>
      </c>
      <c r="E346" s="5" t="str">
        <f>_xlfn.TEXTJOIN("+",TRUE,Table1[[#This Row],[Snapshot]:[ID]])</f>
        <v>46282+DIR-BD8DFCDF38FF</v>
      </c>
      <c r="F346" s="5"/>
      <c r="G346" s="5" t="s">
        <v>1424</v>
      </c>
      <c r="H346" s="20" t="s">
        <v>1425</v>
      </c>
      <c r="I346" s="5" t="s">
        <v>45</v>
      </c>
      <c r="J346" s="4" t="s">
        <v>200</v>
      </c>
      <c r="K346" s="4" t="str" cm="1">
        <f t="array" ref="K34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18. Quy trình Phát triển và Ra mắt Sản phẩm</v>
      </c>
      <c r="L346" s="4" t="s">
        <v>44</v>
      </c>
      <c r="M346" s="4" t="s">
        <v>201</v>
      </c>
      <c r="N346" s="4" t="s">
        <v>1703</v>
      </c>
      <c r="O346" s="4" t="s">
        <v>154</v>
      </c>
      <c r="P346" s="6">
        <v>46200</v>
      </c>
      <c r="Q346" s="6">
        <v>46200</v>
      </c>
      <c r="R346" s="5">
        <v>1</v>
      </c>
      <c r="S346" s="5"/>
      <c r="T346" s="13"/>
      <c r="U346" s="13"/>
      <c r="V346" s="5">
        <v>0</v>
      </c>
      <c r="W346" s="22" t="str">
        <f>_xlfn.LET(
_xlpm.H,Table1[[#This Row],[Thời hạn mới nhất (Date)]],
_xlpm.S,Table1[[#This Row],[Snapshot]],
IF(
    ISNUMBER(_xlpm.H),
    INT(_xlpm.H)-INT(_xlpm.S),
    "Không giao thời hạn"
))</f>
        <v>Không giao thời hạn</v>
      </c>
      <c r="X346" s="4" t="s">
        <v>202</v>
      </c>
      <c r="Y346" s="5"/>
      <c r="Z346" s="5" t="s">
        <v>35</v>
      </c>
      <c r="AA346" s="5"/>
      <c r="AB346" s="4"/>
      <c r="AC346" s="6"/>
      <c r="AD346" s="6"/>
      <c r="AE346" s="4">
        <v>0</v>
      </c>
      <c r="AF346" s="26" t="str">
        <f>_xlfn.LET(
_xlpm.H,Table1[[#This Row],[Thời hạn mới nhất (Date)]],
_xlpm.D,Table1[[#This Row],[Dự kiến mới nhất (Date)]],
IF(
NOT(ISNUMBER(_xlpm.H)),"Không giao thời hạn",
IF(
NOT(ISNUMBER(_xlpm.D)),"Chưa có dự kiến",
_xlpm.D-_xlpm.H
)))</f>
        <v>Không giao thời hạn</v>
      </c>
    </row>
    <row r="347" spans="1:32" ht="160.30000000000001" x14ac:dyDescent="0.4">
      <c r="A347" s="44">
        <v>46275</v>
      </c>
      <c r="B347" s="4" t="s">
        <v>199</v>
      </c>
      <c r="C347" s="5" t="s">
        <v>44</v>
      </c>
      <c r="D347" s="5">
        <v>45</v>
      </c>
      <c r="E347" s="5" t="str">
        <f>_xlfn.TEXTJOIN("+",TRUE,Table1[[#This Row],[Snapshot]:[ID]])</f>
        <v>46275+DIR-BD8DFCDF38FF</v>
      </c>
      <c r="F347" s="5"/>
      <c r="G347" s="5" t="s">
        <v>1424</v>
      </c>
      <c r="H347" s="20" t="s">
        <v>1425</v>
      </c>
      <c r="I347" s="5" t="s">
        <v>45</v>
      </c>
      <c r="J347" s="4" t="s">
        <v>200</v>
      </c>
      <c r="K347" s="4" t="str" cm="1">
        <f t="array" ref="K34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18. Quy trình Phát triển và Ra mắt Sản phẩm</v>
      </c>
      <c r="L347" s="4" t="s">
        <v>44</v>
      </c>
      <c r="M347" s="4" t="s">
        <v>201</v>
      </c>
      <c r="N347" s="4" t="s">
        <v>1703</v>
      </c>
      <c r="O347" s="4" t="s">
        <v>154</v>
      </c>
      <c r="P347" s="6">
        <v>46200</v>
      </c>
      <c r="Q347" s="6">
        <v>46200</v>
      </c>
      <c r="R347" s="5">
        <v>1</v>
      </c>
      <c r="S347" s="5"/>
      <c r="T347" s="13"/>
      <c r="U347" s="13"/>
      <c r="V347" s="5">
        <v>0</v>
      </c>
      <c r="W347" s="22" t="str">
        <f>_xlfn.LET(
_xlpm.H,Table1[[#This Row],[Thời hạn mới nhất (Date)]],
_xlpm.S,Table1[[#This Row],[Snapshot]],
IF(
    ISNUMBER(_xlpm.H),
    INT(_xlpm.H)-INT(_xlpm.S),
    "Không giao thời hạn"
))</f>
        <v>Không giao thời hạn</v>
      </c>
      <c r="X347" s="4" t="s">
        <v>202</v>
      </c>
      <c r="Y347" s="5"/>
      <c r="Z347" s="5" t="s">
        <v>35</v>
      </c>
      <c r="AA347" s="5"/>
      <c r="AB347" s="4"/>
      <c r="AC347" s="6"/>
      <c r="AD347" s="6"/>
      <c r="AE347" s="4">
        <v>0</v>
      </c>
      <c r="AF347" s="26" t="str">
        <f>_xlfn.LET(
_xlpm.H,Table1[[#This Row],[Thời hạn mới nhất (Date)]],
_xlpm.D,Table1[[#This Row],[Dự kiến mới nhất (Date)]],
IF(
NOT(ISNUMBER(_xlpm.H)),"Không giao thời hạn",
IF(
NOT(ISNUMBER(_xlpm.D)),"Chưa có dự kiến",
_xlpm.D-_xlpm.H
)))</f>
        <v>Không giao thời hạn</v>
      </c>
    </row>
    <row r="348" spans="1:32" ht="276.89999999999998" x14ac:dyDescent="0.4">
      <c r="A348" s="44">
        <v>46282</v>
      </c>
      <c r="B348" s="4" t="s">
        <v>459</v>
      </c>
      <c r="C348" s="5" t="s">
        <v>352</v>
      </c>
      <c r="D348" s="5">
        <v>41</v>
      </c>
      <c r="E348" s="5" t="str">
        <f>_xlfn.TEXTJOIN("+",TRUE,Table1[[#This Row],[Snapshot]:[ID]])</f>
        <v>46282+DIR-BF728F4BCB1B</v>
      </c>
      <c r="F348" s="5"/>
      <c r="G348" s="5" t="s">
        <v>2001</v>
      </c>
      <c r="H348" s="20" t="s">
        <v>2002</v>
      </c>
      <c r="I348" s="5" t="s">
        <v>80</v>
      </c>
      <c r="J348" s="4" t="s">
        <v>200</v>
      </c>
      <c r="K348" s="4" t="str" cm="1">
        <f t="array" ref="K34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17. Đào tạo và Phát triển Năng lực CBNV</v>
      </c>
      <c r="L348" s="4" t="s">
        <v>352</v>
      </c>
      <c r="M348" s="4" t="s">
        <v>460</v>
      </c>
      <c r="N348" s="4" t="s">
        <v>1702</v>
      </c>
      <c r="O348" s="4" t="s">
        <v>461</v>
      </c>
      <c r="P348" s="6">
        <v>46031</v>
      </c>
      <c r="Q348" s="6">
        <v>46031</v>
      </c>
      <c r="R348" s="5">
        <v>1</v>
      </c>
      <c r="S348" s="5"/>
      <c r="T348" s="13"/>
      <c r="U348" s="13"/>
      <c r="V348" s="5">
        <v>0</v>
      </c>
      <c r="W348" s="22" t="str">
        <f>_xlfn.LET(
_xlpm.H,Table1[[#This Row],[Thời hạn mới nhất (Date)]],
_xlpm.S,Table1[[#This Row],[Snapshot]],
IF(
    ISNUMBER(_xlpm.H),
    INT(_xlpm.H)-INT(_xlpm.S),
    "Không giao thời hạn"
))</f>
        <v>Không giao thời hạn</v>
      </c>
      <c r="X348" s="4" t="s">
        <v>462</v>
      </c>
      <c r="Y348" s="5"/>
      <c r="Z348" s="5" t="s">
        <v>35</v>
      </c>
      <c r="AA348" s="5"/>
      <c r="AB348" s="4" t="s">
        <v>463</v>
      </c>
      <c r="AC348" s="6">
        <v>46387</v>
      </c>
      <c r="AD348" s="6">
        <v>46387</v>
      </c>
      <c r="AE348" s="4">
        <v>0</v>
      </c>
      <c r="AF348" s="26" t="str">
        <f>_xlfn.LET(
_xlpm.H,Table1[[#This Row],[Thời hạn mới nhất (Date)]],
_xlpm.D,Table1[[#This Row],[Dự kiến mới nhất (Date)]],
IF(
NOT(ISNUMBER(_xlpm.H)),"Không giao thời hạn",
IF(
NOT(ISNUMBER(_xlpm.D)),"Chưa có dự kiến",
_xlpm.D-_xlpm.H
)))</f>
        <v>Không giao thời hạn</v>
      </c>
    </row>
    <row r="349" spans="1:32" ht="276.89999999999998" x14ac:dyDescent="0.4">
      <c r="A349" s="44">
        <v>46275</v>
      </c>
      <c r="B349" s="4" t="s">
        <v>459</v>
      </c>
      <c r="C349" s="5" t="s">
        <v>352</v>
      </c>
      <c r="D349" s="5">
        <v>42</v>
      </c>
      <c r="E349" s="5" t="str">
        <f>_xlfn.TEXTJOIN("+",TRUE,Table1[[#This Row],[Snapshot]:[ID]])</f>
        <v>46275+DIR-BF728F4BCB1B</v>
      </c>
      <c r="F349" s="5"/>
      <c r="G349" s="5" t="s">
        <v>2003</v>
      </c>
      <c r="H349" s="20" t="s">
        <v>2004</v>
      </c>
      <c r="I349" s="5" t="s">
        <v>80</v>
      </c>
      <c r="J349" s="4" t="s">
        <v>200</v>
      </c>
      <c r="K349" s="4" t="str" cm="1">
        <f t="array" ref="K34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17. Đào tạo và Phát triển Năng lực CBNV</v>
      </c>
      <c r="L349" s="4" t="s">
        <v>352</v>
      </c>
      <c r="M349" s="4" t="s">
        <v>460</v>
      </c>
      <c r="N349" s="4" t="s">
        <v>1702</v>
      </c>
      <c r="O349" s="4" t="s">
        <v>461</v>
      </c>
      <c r="P349" s="6">
        <v>46031</v>
      </c>
      <c r="Q349" s="6">
        <v>46031</v>
      </c>
      <c r="R349" s="5">
        <v>1</v>
      </c>
      <c r="S349" s="5"/>
      <c r="T349" s="13"/>
      <c r="U349" s="13"/>
      <c r="V349" s="5">
        <v>0</v>
      </c>
      <c r="W349" s="22" t="str">
        <f>_xlfn.LET(
_xlpm.H,Table1[[#This Row],[Thời hạn mới nhất (Date)]],
_xlpm.S,Table1[[#This Row],[Snapshot]],
IF(
    ISNUMBER(_xlpm.H),
    INT(_xlpm.H)-INT(_xlpm.S),
    "Không giao thời hạn"
))</f>
        <v>Không giao thời hạn</v>
      </c>
      <c r="X349" s="4" t="s">
        <v>462</v>
      </c>
      <c r="Y349" s="5"/>
      <c r="Z349" s="5" t="s">
        <v>35</v>
      </c>
      <c r="AA349" s="5"/>
      <c r="AB349" s="4" t="s">
        <v>463</v>
      </c>
      <c r="AC349" s="6">
        <v>46387</v>
      </c>
      <c r="AD349" s="6">
        <v>46387</v>
      </c>
      <c r="AE349" s="4">
        <v>0</v>
      </c>
      <c r="AF349" s="26" t="str">
        <f>_xlfn.LET(
_xlpm.H,Table1[[#This Row],[Thời hạn mới nhất (Date)]],
_xlpm.D,Table1[[#This Row],[Dự kiến mới nhất (Date)]],
IF(
NOT(ISNUMBER(_xlpm.H)),"Không giao thời hạn",
IF(
NOT(ISNUMBER(_xlpm.D)),"Chưa có dự kiến",
_xlpm.D-_xlpm.H
)))</f>
        <v>Không giao thời hạn</v>
      </c>
    </row>
    <row r="350" spans="1:32" ht="145.75" x14ac:dyDescent="0.4">
      <c r="A350" s="44">
        <v>46282</v>
      </c>
      <c r="B350" s="4" t="s">
        <v>639</v>
      </c>
      <c r="C350" s="5" t="s">
        <v>607</v>
      </c>
      <c r="D350" s="5">
        <v>22</v>
      </c>
      <c r="E350" s="5" t="str">
        <f>_xlfn.TEXTJOIN("+",TRUE,Table1[[#This Row],[Snapshot]:[ID]])</f>
        <v>46282+DIR-BF73C173692B</v>
      </c>
      <c r="F350" s="5"/>
      <c r="G350" s="5" t="s">
        <v>1650</v>
      </c>
      <c r="H350" s="20" t="s">
        <v>1651</v>
      </c>
      <c r="I350" s="5" t="s">
        <v>93</v>
      </c>
      <c r="J350" s="4" t="s">
        <v>30</v>
      </c>
      <c r="K350" s="4" t="str" cm="1">
        <f t="array" ref="K35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350" s="4" t="s">
        <v>607</v>
      </c>
      <c r="M350" s="4" t="s">
        <v>640</v>
      </c>
      <c r="N350" s="4" t="s">
        <v>1700</v>
      </c>
      <c r="O350" s="4" t="s">
        <v>191</v>
      </c>
      <c r="P350" s="6">
        <v>46262</v>
      </c>
      <c r="Q350" s="6">
        <v>46262</v>
      </c>
      <c r="R350" s="5">
        <v>1</v>
      </c>
      <c r="S350" s="5" t="s">
        <v>332</v>
      </c>
      <c r="T350" s="13">
        <v>46266</v>
      </c>
      <c r="U350" s="13">
        <v>46266</v>
      </c>
      <c r="V350" s="5">
        <v>0</v>
      </c>
      <c r="W350" s="22">
        <f>_xlfn.LET(
_xlpm.H,Table1[[#This Row],[Thời hạn mới nhất (Date)]],
_xlpm.S,Table1[[#This Row],[Snapshot]],
IF(
    ISNUMBER(_xlpm.H),
    INT(_xlpm.H)-INT(_xlpm.S),
    "Không giao thời hạn"
))</f>
        <v>-16</v>
      </c>
      <c r="X350" s="4" t="s">
        <v>641</v>
      </c>
      <c r="Y350" s="5"/>
      <c r="Z350" s="5" t="s">
        <v>35</v>
      </c>
      <c r="AA350" s="5"/>
      <c r="AB350" s="4"/>
      <c r="AC350" s="6"/>
      <c r="AD350" s="6"/>
      <c r="AE350" s="4">
        <v>0</v>
      </c>
      <c r="AF350" s="26" t="str">
        <f>_xlfn.LET(
_xlpm.H,Table1[[#This Row],[Thời hạn mới nhất (Date)]],
_xlpm.D,Table1[[#This Row],[Dự kiến mới nhất (Date)]],
IF(
NOT(ISNUMBER(_xlpm.H)),"Không giao thời hạn",
IF(
NOT(ISNUMBER(_xlpm.D)),"Chưa có dự kiến",
_xlpm.D-_xlpm.H
)))</f>
        <v>Chưa có dự kiến</v>
      </c>
    </row>
    <row r="351" spans="1:32" ht="87.45" x14ac:dyDescent="0.4">
      <c r="A351" s="44">
        <v>46275</v>
      </c>
      <c r="B351" s="4" t="s">
        <v>639</v>
      </c>
      <c r="C351" s="5" t="s">
        <v>607</v>
      </c>
      <c r="D351" s="5">
        <v>22</v>
      </c>
      <c r="E351" s="5" t="str">
        <f>_xlfn.TEXTJOIN("+",TRUE,Table1[[#This Row],[Snapshot]:[ID]])</f>
        <v>46275+DIR-BF73C173692B</v>
      </c>
      <c r="F351" s="5"/>
      <c r="G351" s="5" t="s">
        <v>1652</v>
      </c>
      <c r="H351" s="20" t="s">
        <v>1653</v>
      </c>
      <c r="I351" s="5" t="s">
        <v>93</v>
      </c>
      <c r="J351" s="4" t="s">
        <v>30</v>
      </c>
      <c r="K351" s="4" t="str" cm="1">
        <f t="array" ref="K35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12. Tuân thủ NHNN, Thông tư 83 và Thanh tra</v>
      </c>
      <c r="L351" s="4" t="s">
        <v>607</v>
      </c>
      <c r="M351" s="4" t="s">
        <v>640</v>
      </c>
      <c r="N351" s="4" t="s">
        <v>1700</v>
      </c>
      <c r="O351" s="4" t="s">
        <v>191</v>
      </c>
      <c r="P351" s="6">
        <v>46262</v>
      </c>
      <c r="Q351" s="6">
        <v>46262</v>
      </c>
      <c r="R351" s="5">
        <v>1</v>
      </c>
      <c r="S351" s="5" t="s">
        <v>332</v>
      </c>
      <c r="T351" s="13">
        <v>46266</v>
      </c>
      <c r="U351" s="13">
        <v>46266</v>
      </c>
      <c r="V351" s="5">
        <v>0</v>
      </c>
      <c r="W351" s="22">
        <f>_xlfn.LET(
_xlpm.H,Table1[[#This Row],[Thời hạn mới nhất (Date)]],
_xlpm.S,Table1[[#This Row],[Snapshot]],
IF(
    ISNUMBER(_xlpm.H),
    INT(_xlpm.H)-INT(_xlpm.S),
    "Không giao thời hạn"
))</f>
        <v>-9</v>
      </c>
      <c r="X351" s="4" t="s">
        <v>641</v>
      </c>
      <c r="Y351" s="5"/>
      <c r="Z351" s="5" t="s">
        <v>35</v>
      </c>
      <c r="AA351" s="5"/>
      <c r="AB351" s="4"/>
      <c r="AC351" s="6"/>
      <c r="AD351" s="6"/>
      <c r="AE351" s="4">
        <v>0</v>
      </c>
      <c r="AF351" s="26" t="str">
        <f>_xlfn.LET(
_xlpm.H,Table1[[#This Row],[Thời hạn mới nhất (Date)]],
_xlpm.D,Table1[[#This Row],[Dự kiến mới nhất (Date)]],
IF(
NOT(ISNUMBER(_xlpm.H)),"Không giao thời hạn",
IF(
NOT(ISNUMBER(_xlpm.D)),"Chưa có dự kiến",
_xlpm.D-_xlpm.H
)))</f>
        <v>Chưa có dự kiến</v>
      </c>
    </row>
    <row r="352" spans="1:32" ht="145.75" x14ac:dyDescent="0.4">
      <c r="A352" s="44">
        <v>46275</v>
      </c>
      <c r="B352" s="4" t="s">
        <v>371</v>
      </c>
      <c r="C352" s="5" t="s">
        <v>352</v>
      </c>
      <c r="D352" s="5">
        <v>18</v>
      </c>
      <c r="E352" s="5" t="str">
        <f>_xlfn.TEXTJOIN("+",TRUE,Table1[[#This Row],[Snapshot]:[ID]])</f>
        <v>46275+DIR-BF90560BFBFF</v>
      </c>
      <c r="F352" s="5"/>
      <c r="G352" s="5" t="s">
        <v>2005</v>
      </c>
      <c r="H352" s="20" t="s">
        <v>2006</v>
      </c>
      <c r="I352" s="5" t="s">
        <v>75</v>
      </c>
      <c r="J352" s="4" t="s">
        <v>30</v>
      </c>
      <c r="K352" s="4" t="str" cm="1">
        <f t="array" ref="K35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26. Siêu thị Tài chính và Không gian Trải nghiệm</v>
      </c>
      <c r="L352" s="4" t="s">
        <v>352</v>
      </c>
      <c r="M352" s="4" t="s">
        <v>372</v>
      </c>
      <c r="N352" s="4" t="s">
        <v>1702</v>
      </c>
      <c r="O352" s="4" t="s">
        <v>275</v>
      </c>
      <c r="P352" s="13">
        <v>46256</v>
      </c>
      <c r="Q352" s="13">
        <v>46256</v>
      </c>
      <c r="R352" s="5">
        <v>1</v>
      </c>
      <c r="S352" s="5" t="s">
        <v>373</v>
      </c>
      <c r="T352" s="13">
        <v>46260</v>
      </c>
      <c r="U352" s="13">
        <v>46260</v>
      </c>
      <c r="V352" s="5">
        <v>0</v>
      </c>
      <c r="W352" s="22">
        <f>_xlfn.LET(
_xlpm.H,Table1[[#This Row],[Thời hạn mới nhất (Date)]],
_xlpm.S,Table1[[#This Row],[Snapshot]],
IF(
    ISNUMBER(_xlpm.H),
    INT(_xlpm.H)-INT(_xlpm.S),
    "Không giao thời hạn"
))</f>
        <v>-15</v>
      </c>
      <c r="X352" s="4" t="s">
        <v>374</v>
      </c>
      <c r="Y352" s="5" t="s">
        <v>35</v>
      </c>
      <c r="Z352" s="5"/>
      <c r="AA352" s="5"/>
      <c r="AB352" s="4"/>
      <c r="AC352" s="6"/>
      <c r="AD352" s="6"/>
      <c r="AE352" s="4">
        <v>0</v>
      </c>
      <c r="AF352" s="26" t="str">
        <f>_xlfn.LET(
_xlpm.H,Table1[[#This Row],[Thời hạn mới nhất (Date)]],
_xlpm.D,Table1[[#This Row],[Dự kiến mới nhất (Date)]],
IF(
NOT(ISNUMBER(_xlpm.H)),"Không giao thời hạn",
IF(
NOT(ISNUMBER(_xlpm.D)),"Chưa có dự kiến",
_xlpm.D-_xlpm.H
)))</f>
        <v>Chưa có dự kiến</v>
      </c>
    </row>
    <row r="353" spans="1:32" ht="174.9" x14ac:dyDescent="0.4">
      <c r="A353" s="44">
        <v>46282</v>
      </c>
      <c r="B353" s="4" t="s">
        <v>493</v>
      </c>
      <c r="C353" s="5" t="s">
        <v>469</v>
      </c>
      <c r="D353" s="5">
        <v>19</v>
      </c>
      <c r="E353" s="5" t="str">
        <f>_xlfn.TEXTJOIN("+",TRUE,Table1[[#This Row],[Snapshot]:[ID]])</f>
        <v>46282+DIR-C00B93D4A7B9</v>
      </c>
      <c r="F353" s="5"/>
      <c r="G353" s="20" t="s">
        <v>1228</v>
      </c>
      <c r="H353" s="20" t="s">
        <v>1229</v>
      </c>
      <c r="I353" s="5" t="s">
        <v>75</v>
      </c>
      <c r="J353" s="4" t="s">
        <v>30</v>
      </c>
      <c r="K353" s="4" t="str" cm="1">
        <f t="array" ref="K35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37. Sở hữu trí tuệ, Bản quyền và Bảo hộ Thương hiệu</v>
      </c>
      <c r="L353" s="4" t="s">
        <v>469</v>
      </c>
      <c r="M353" s="4" t="s">
        <v>494</v>
      </c>
      <c r="N353" s="4" t="s">
        <v>1713</v>
      </c>
      <c r="O353" s="4" t="s">
        <v>495</v>
      </c>
      <c r="P353" s="6">
        <v>46256</v>
      </c>
      <c r="Q353" s="6">
        <v>46262</v>
      </c>
      <c r="R353" s="5">
        <v>2</v>
      </c>
      <c r="S353" s="5"/>
      <c r="T353" s="13"/>
      <c r="U353" s="13"/>
      <c r="V353" s="5">
        <v>0</v>
      </c>
      <c r="W353" s="22" t="str">
        <f>_xlfn.LET(
_xlpm.H,Table1[[#This Row],[Thời hạn mới nhất (Date)]],
_xlpm.S,Table1[[#This Row],[Snapshot]],
IF(
    ISNUMBER(_xlpm.H),
    INT(_xlpm.H)-INT(_xlpm.S),
    "Không giao thời hạn"
))</f>
        <v>Không giao thời hạn</v>
      </c>
      <c r="X353" s="4" t="s">
        <v>496</v>
      </c>
      <c r="Y353" s="5"/>
      <c r="Z353" s="5" t="s">
        <v>35</v>
      </c>
      <c r="AA353" s="5"/>
      <c r="AB353" s="4" t="s">
        <v>497</v>
      </c>
      <c r="AC353" s="6"/>
      <c r="AD353" s="6"/>
      <c r="AE353" s="4">
        <v>0</v>
      </c>
      <c r="AF353" s="26" t="str">
        <f>_xlfn.LET(
_xlpm.H,Table1[[#This Row],[Thời hạn mới nhất (Date)]],
_xlpm.D,Table1[[#This Row],[Dự kiến mới nhất (Date)]],
IF(
NOT(ISNUMBER(_xlpm.H)),"Không giao thời hạn",
IF(
NOT(ISNUMBER(_xlpm.D)),"Chưa có dự kiến",
_xlpm.D-_xlpm.H
)))</f>
        <v>Không giao thời hạn</v>
      </c>
    </row>
    <row r="354" spans="1:32" ht="174.9" x14ac:dyDescent="0.4">
      <c r="A354" s="44">
        <v>46275</v>
      </c>
      <c r="B354" s="4" t="s">
        <v>493</v>
      </c>
      <c r="C354" s="5" t="s">
        <v>469</v>
      </c>
      <c r="D354" s="5">
        <v>19</v>
      </c>
      <c r="E354" s="5" t="str">
        <f>_xlfn.TEXTJOIN("+",TRUE,Table1[[#This Row],[Snapshot]:[ID]])</f>
        <v>46275+DIR-C00B93D4A7B9</v>
      </c>
      <c r="F354" s="5"/>
      <c r="G354" s="20" t="s">
        <v>1228</v>
      </c>
      <c r="H354" s="20" t="s">
        <v>1229</v>
      </c>
      <c r="I354" s="5" t="s">
        <v>75</v>
      </c>
      <c r="J354" s="4" t="s">
        <v>30</v>
      </c>
      <c r="K354" s="4" t="str" cm="1">
        <f t="array" ref="K35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37. Sở hữu trí tuệ, Bản quyền và Bảo hộ Thương hiệu</v>
      </c>
      <c r="L354" s="4" t="s">
        <v>469</v>
      </c>
      <c r="M354" s="4" t="s">
        <v>494</v>
      </c>
      <c r="N354" s="4" t="s">
        <v>1713</v>
      </c>
      <c r="O354" s="4" t="s">
        <v>495</v>
      </c>
      <c r="P354" s="6">
        <v>46256</v>
      </c>
      <c r="Q354" s="6">
        <v>46262</v>
      </c>
      <c r="R354" s="5">
        <v>2</v>
      </c>
      <c r="S354" s="5"/>
      <c r="T354" s="13"/>
      <c r="U354" s="13"/>
      <c r="V354" s="5">
        <v>0</v>
      </c>
      <c r="W354" s="22" t="str">
        <f>_xlfn.LET(
_xlpm.H,Table1[[#This Row],[Thời hạn mới nhất (Date)]],
_xlpm.S,Table1[[#This Row],[Snapshot]],
IF(
    ISNUMBER(_xlpm.H),
    INT(_xlpm.H)-INT(_xlpm.S),
    "Không giao thời hạn"
))</f>
        <v>Không giao thời hạn</v>
      </c>
      <c r="X354" s="4" t="s">
        <v>496</v>
      </c>
      <c r="Y354" s="5"/>
      <c r="Z354" s="5" t="s">
        <v>35</v>
      </c>
      <c r="AA354" s="5"/>
      <c r="AB354" s="4" t="s">
        <v>497</v>
      </c>
      <c r="AC354" s="6"/>
      <c r="AD354" s="6"/>
      <c r="AE354" s="4">
        <v>0</v>
      </c>
      <c r="AF354" s="26" t="str">
        <f>_xlfn.LET(
_xlpm.H,Table1[[#This Row],[Thời hạn mới nhất (Date)]],
_xlpm.D,Table1[[#This Row],[Dự kiến mới nhất (Date)]],
IF(
NOT(ISNUMBER(_xlpm.H)),"Không giao thời hạn",
IF(
NOT(ISNUMBER(_xlpm.D)),"Chưa có dự kiến",
_xlpm.D-_xlpm.H
)))</f>
        <v>Không giao thời hạn</v>
      </c>
    </row>
    <row r="355" spans="1:32" ht="160.30000000000001" x14ac:dyDescent="0.4">
      <c r="A355" s="44">
        <v>46282</v>
      </c>
      <c r="B355" s="4" t="s">
        <v>984</v>
      </c>
      <c r="C355" s="5" t="s">
        <v>688</v>
      </c>
      <c r="D355" s="5">
        <v>60</v>
      </c>
      <c r="E355" s="5" t="str">
        <f>_xlfn.TEXTJOIN("+",TRUE,Table1[[#This Row],[Snapshot]:[ID]])</f>
        <v>46282+DIR-C16264F92759</v>
      </c>
      <c r="F355" s="5"/>
      <c r="G355" s="5" t="s">
        <v>2007</v>
      </c>
      <c r="H355" s="20" t="s">
        <v>2008</v>
      </c>
      <c r="I355" s="5" t="s">
        <v>834</v>
      </c>
      <c r="J355" s="4" t="s">
        <v>689</v>
      </c>
      <c r="K355" s="4" t="str" cm="1">
        <f t="array" ref="K35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355" s="4" t="s">
        <v>688</v>
      </c>
      <c r="M355" s="4" t="s">
        <v>985</v>
      </c>
      <c r="N355" s="4" t="s">
        <v>1728</v>
      </c>
      <c r="O355" s="4" t="s">
        <v>906</v>
      </c>
      <c r="P355" s="6">
        <v>46277</v>
      </c>
      <c r="Q355" s="6">
        <v>46277</v>
      </c>
      <c r="R355" s="5">
        <v>1</v>
      </c>
      <c r="S355" s="5" t="s">
        <v>986</v>
      </c>
      <c r="T355" s="13">
        <v>46387</v>
      </c>
      <c r="U355" s="13">
        <v>46387</v>
      </c>
      <c r="V355" s="5">
        <v>0</v>
      </c>
      <c r="W355" s="22">
        <f>_xlfn.LET(
_xlpm.H,Table1[[#This Row],[Thời hạn mới nhất (Date)]],
_xlpm.S,Table1[[#This Row],[Snapshot]],
IF(
    ISNUMBER(_xlpm.H),
    INT(_xlpm.H)-INT(_xlpm.S),
    "Không giao thời hạn"
))</f>
        <v>105</v>
      </c>
      <c r="X355" s="4" t="s">
        <v>987</v>
      </c>
      <c r="Y355" s="5"/>
      <c r="Z355" s="5" t="s">
        <v>35</v>
      </c>
      <c r="AA355" s="5"/>
      <c r="AB355" s="4"/>
      <c r="AC355" s="6"/>
      <c r="AD355" s="6"/>
      <c r="AE355" s="4">
        <v>0</v>
      </c>
      <c r="AF355" s="26" t="str">
        <f>_xlfn.LET(
_xlpm.H,Table1[[#This Row],[Thời hạn mới nhất (Date)]],
_xlpm.D,Table1[[#This Row],[Dự kiến mới nhất (Date)]],
IF(
NOT(ISNUMBER(_xlpm.H)),"Không giao thời hạn",
IF(
NOT(ISNUMBER(_xlpm.D)),"Chưa có dự kiến",
_xlpm.D-_xlpm.H
)))</f>
        <v>Chưa có dự kiến</v>
      </c>
    </row>
    <row r="356" spans="1:32" ht="174.9" x14ac:dyDescent="0.4">
      <c r="A356" s="44">
        <v>46275</v>
      </c>
      <c r="B356" s="4" t="s">
        <v>884</v>
      </c>
      <c r="C356" s="5" t="s">
        <v>877</v>
      </c>
      <c r="D356" s="5">
        <v>15</v>
      </c>
      <c r="E356" s="5" t="str">
        <f>_xlfn.TEXTJOIN("+",TRUE,Table1[[#This Row],[Snapshot]:[ID]])</f>
        <v>46275+DIR-C2239D926543</v>
      </c>
      <c r="F356" s="5"/>
      <c r="G356" s="5" t="s">
        <v>2009</v>
      </c>
      <c r="H356" s="20" t="s">
        <v>2010</v>
      </c>
      <c r="I356" s="5" t="s">
        <v>57</v>
      </c>
      <c r="J356" s="4" t="s">
        <v>30</v>
      </c>
      <c r="K356" s="4" t="str" cm="1">
        <f t="array" ref="K35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18. Quy trình Phát triển và Ra mắt Sản phẩm</v>
      </c>
      <c r="L356" s="4" t="s">
        <v>877</v>
      </c>
      <c r="M356" s="4" t="s">
        <v>434</v>
      </c>
      <c r="N356" s="4" t="s">
        <v>1720</v>
      </c>
      <c r="O356" s="4" t="s">
        <v>181</v>
      </c>
      <c r="P356" s="6">
        <v>46270</v>
      </c>
      <c r="Q356" s="6">
        <v>46270</v>
      </c>
      <c r="R356" s="5">
        <v>1</v>
      </c>
      <c r="S356" s="5"/>
      <c r="T356" s="13"/>
      <c r="U356" s="13"/>
      <c r="V356" s="5">
        <v>0</v>
      </c>
      <c r="W356" s="22" t="str">
        <f>_xlfn.LET(
_xlpm.H,Table1[[#This Row],[Thời hạn mới nhất (Date)]],
_xlpm.S,Table1[[#This Row],[Snapshot]],
IF(
    ISNUMBER(_xlpm.H),
    INT(_xlpm.H)-INT(_xlpm.S),
    "Không giao thời hạn"
))</f>
        <v>Không giao thời hạn</v>
      </c>
      <c r="X356" s="4"/>
      <c r="Y356" s="5"/>
      <c r="Z356" s="5"/>
      <c r="AA356" s="5"/>
      <c r="AB356" s="4"/>
      <c r="AC356" s="6"/>
      <c r="AD356" s="6"/>
      <c r="AE356" s="4">
        <v>0</v>
      </c>
      <c r="AF356" s="26" t="str">
        <f>_xlfn.LET(
_xlpm.H,Table1[[#This Row],[Thời hạn mới nhất (Date)]],
_xlpm.D,Table1[[#This Row],[Dự kiến mới nhất (Date)]],
IF(
NOT(ISNUMBER(_xlpm.H)),"Không giao thời hạn",
IF(
NOT(ISNUMBER(_xlpm.D)),"Chưa có dự kiến",
_xlpm.D-_xlpm.H
)))</f>
        <v>Không giao thời hạn</v>
      </c>
    </row>
    <row r="357" spans="1:32" ht="116.6" x14ac:dyDescent="0.4">
      <c r="A357" s="44">
        <v>46282</v>
      </c>
      <c r="B357" s="4" t="s">
        <v>288</v>
      </c>
      <c r="C357" s="5" t="s">
        <v>266</v>
      </c>
      <c r="D357" s="5">
        <v>19</v>
      </c>
      <c r="E357" s="5" t="str">
        <f>_xlfn.TEXTJOIN("+",TRUE,Table1[[#This Row],[Snapshot]:[ID]])</f>
        <v>46282+DIR-C3AFEB68E667</v>
      </c>
      <c r="F357" s="5"/>
      <c r="G357" s="5" t="s">
        <v>2011</v>
      </c>
      <c r="H357" s="20" t="s">
        <v>2012</v>
      </c>
      <c r="I357" s="5" t="s">
        <v>80</v>
      </c>
      <c r="J357" s="4" t="s">
        <v>30</v>
      </c>
      <c r="K357" s="4" t="str" cm="1">
        <f t="array" ref="K35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357" s="4" t="s">
        <v>266</v>
      </c>
      <c r="M357" s="4" t="s">
        <v>289</v>
      </c>
      <c r="N357" s="4" t="s">
        <v>1718</v>
      </c>
      <c r="O357" s="4" t="s">
        <v>181</v>
      </c>
      <c r="P357" s="6">
        <v>46270</v>
      </c>
      <c r="Q357" s="6">
        <v>46270</v>
      </c>
      <c r="R357" s="5">
        <v>1</v>
      </c>
      <c r="S357" s="5"/>
      <c r="T357" s="13"/>
      <c r="U357" s="13"/>
      <c r="V357" s="5">
        <v>0</v>
      </c>
      <c r="W357" s="22" t="str">
        <f>_xlfn.LET(
_xlpm.H,Table1[[#This Row],[Thời hạn mới nhất (Date)]],
_xlpm.S,Table1[[#This Row],[Snapshot]],
IF(
    ISNUMBER(_xlpm.H),
    INT(_xlpm.H)-INT(_xlpm.S),
    "Không giao thời hạn"
))</f>
        <v>Không giao thời hạn</v>
      </c>
      <c r="X357" s="4" t="s">
        <v>290</v>
      </c>
      <c r="Y357" s="5"/>
      <c r="Z357" s="5" t="s">
        <v>35</v>
      </c>
      <c r="AA357" s="5"/>
      <c r="AB357" s="4" t="s">
        <v>291</v>
      </c>
      <c r="AC357" s="6"/>
      <c r="AD357" s="6"/>
      <c r="AE357" s="4">
        <v>0</v>
      </c>
      <c r="AF357" s="26" t="str">
        <f>_xlfn.LET(
_xlpm.H,Table1[[#This Row],[Thời hạn mới nhất (Date)]],
_xlpm.D,Table1[[#This Row],[Dự kiến mới nhất (Date)]],
IF(
NOT(ISNUMBER(_xlpm.H)),"Không giao thời hạn",
IF(
NOT(ISNUMBER(_xlpm.D)),"Chưa có dự kiến",
_xlpm.D-_xlpm.H
)))</f>
        <v>Không giao thời hạn</v>
      </c>
    </row>
    <row r="358" spans="1:32" ht="174.9" x14ac:dyDescent="0.4">
      <c r="A358" s="44">
        <v>46275</v>
      </c>
      <c r="B358" s="4" t="s">
        <v>288</v>
      </c>
      <c r="C358" s="5" t="s">
        <v>266</v>
      </c>
      <c r="D358" s="5">
        <v>19</v>
      </c>
      <c r="E358" s="5" t="str">
        <f>_xlfn.TEXTJOIN("+",TRUE,Table1[[#This Row],[Snapshot]:[ID]])</f>
        <v>46275+DIR-C3AFEB68E667</v>
      </c>
      <c r="F358" s="5"/>
      <c r="G358" s="5" t="s">
        <v>2013</v>
      </c>
      <c r="H358" s="20" t="s">
        <v>2014</v>
      </c>
      <c r="I358" s="5" t="s">
        <v>80</v>
      </c>
      <c r="J358" s="4" t="s">
        <v>30</v>
      </c>
      <c r="K358" s="4" t="str" cm="1">
        <f t="array" ref="K35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358" s="4" t="s">
        <v>266</v>
      </c>
      <c r="M358" s="4" t="s">
        <v>289</v>
      </c>
      <c r="N358" s="4" t="s">
        <v>1718</v>
      </c>
      <c r="O358" s="4" t="s">
        <v>181</v>
      </c>
      <c r="P358" s="6">
        <v>46270</v>
      </c>
      <c r="Q358" s="6">
        <v>46270</v>
      </c>
      <c r="R358" s="5">
        <v>1</v>
      </c>
      <c r="S358" s="5"/>
      <c r="T358" s="13"/>
      <c r="U358" s="13"/>
      <c r="V358" s="5">
        <v>0</v>
      </c>
      <c r="W358" s="22" t="str">
        <f>_xlfn.LET(
_xlpm.H,Table1[[#This Row],[Thời hạn mới nhất (Date)]],
_xlpm.S,Table1[[#This Row],[Snapshot]],
IF(
    ISNUMBER(_xlpm.H),
    INT(_xlpm.H)-INT(_xlpm.S),
    "Không giao thời hạn"
))</f>
        <v>Không giao thời hạn</v>
      </c>
      <c r="X358" s="4" t="s">
        <v>290</v>
      </c>
      <c r="Y358" s="5"/>
      <c r="Z358" s="5" t="s">
        <v>35</v>
      </c>
      <c r="AA358" s="5"/>
      <c r="AB358" s="4" t="s">
        <v>291</v>
      </c>
      <c r="AC358" s="6"/>
      <c r="AD358" s="6"/>
      <c r="AE358" s="4">
        <v>0</v>
      </c>
      <c r="AF358" s="26" t="str">
        <f>_xlfn.LET(
_xlpm.H,Table1[[#This Row],[Thời hạn mới nhất (Date)]],
_xlpm.D,Table1[[#This Row],[Dự kiến mới nhất (Date)]],
IF(
NOT(ISNUMBER(_xlpm.H)),"Không giao thời hạn",
IF(
NOT(ISNUMBER(_xlpm.D)),"Chưa có dự kiến",
_xlpm.D-_xlpm.H
)))</f>
        <v>Không giao thời hạn</v>
      </c>
    </row>
    <row r="359" spans="1:32" ht="116.6" x14ac:dyDescent="0.4">
      <c r="A359" s="44">
        <v>46282</v>
      </c>
      <c r="B359" s="4" t="s">
        <v>803</v>
      </c>
      <c r="C359" s="5" t="s">
        <v>688</v>
      </c>
      <c r="D359" s="5">
        <v>50</v>
      </c>
      <c r="E359" s="5" t="str">
        <f>_xlfn.TEXTJOIN("+",TRUE,Table1[[#This Row],[Snapshot]:[ID]])</f>
        <v>46282+DIR-C4D5876C50CC</v>
      </c>
      <c r="F359" s="5"/>
      <c r="G359" s="5" t="s">
        <v>1503</v>
      </c>
      <c r="H359" s="20" t="s">
        <v>1504</v>
      </c>
      <c r="I359" s="5" t="s">
        <v>797</v>
      </c>
      <c r="J359" s="4" t="s">
        <v>689</v>
      </c>
      <c r="K359" s="4" t="str" cm="1">
        <f t="array" ref="K35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359" s="4" t="s">
        <v>688</v>
      </c>
      <c r="M359" s="4" t="s">
        <v>587</v>
      </c>
      <c r="N359" s="4" t="s">
        <v>1696</v>
      </c>
      <c r="O359" s="4" t="s">
        <v>191</v>
      </c>
      <c r="P359" s="6">
        <v>46262</v>
      </c>
      <c r="Q359" s="6">
        <v>46262</v>
      </c>
      <c r="R359" s="5">
        <v>1</v>
      </c>
      <c r="S359" s="5" t="s">
        <v>503</v>
      </c>
      <c r="T359" s="13">
        <v>46275</v>
      </c>
      <c r="U359" s="13">
        <v>46275</v>
      </c>
      <c r="V359" s="5">
        <v>0</v>
      </c>
      <c r="W359" s="22">
        <f>_xlfn.LET(
_xlpm.H,Table1[[#This Row],[Thời hạn mới nhất (Date)]],
_xlpm.S,Table1[[#This Row],[Snapshot]],
IF(
    ISNUMBER(_xlpm.H),
    INT(_xlpm.H)-INT(_xlpm.S),
    "Không giao thời hạn"
))</f>
        <v>-7</v>
      </c>
      <c r="X359" s="4" t="s">
        <v>805</v>
      </c>
      <c r="Y359" s="5"/>
      <c r="Z359" s="5" t="s">
        <v>35</v>
      </c>
      <c r="AA359" s="5"/>
      <c r="AB359" s="4" t="s">
        <v>977</v>
      </c>
      <c r="AC359" s="6">
        <v>46280</v>
      </c>
      <c r="AD359" s="6">
        <v>46280</v>
      </c>
      <c r="AE359" s="4">
        <v>0</v>
      </c>
      <c r="AF359" s="26">
        <f>_xlfn.LET(
_xlpm.H,Table1[[#This Row],[Thời hạn mới nhất (Date)]],
_xlpm.D,Table1[[#This Row],[Dự kiến mới nhất (Date)]],
IF(
NOT(ISNUMBER(_xlpm.H)),"Không giao thời hạn",
IF(
NOT(ISNUMBER(_xlpm.D)),"Chưa có dự kiến",
_xlpm.D-_xlpm.H
)))</f>
        <v>5</v>
      </c>
    </row>
    <row r="360" spans="1:32" ht="116.6" x14ac:dyDescent="0.4">
      <c r="A360" s="44">
        <v>46275</v>
      </c>
      <c r="B360" s="4" t="s">
        <v>803</v>
      </c>
      <c r="C360" s="5" t="s">
        <v>688</v>
      </c>
      <c r="D360" s="5">
        <v>52</v>
      </c>
      <c r="E360" s="5" t="str">
        <f>_xlfn.TEXTJOIN("+",TRUE,Table1[[#This Row],[Snapshot]:[ID]])</f>
        <v>46275+DIR-C4D5876C50CC</v>
      </c>
      <c r="F360" s="5"/>
      <c r="G360" s="5" t="s">
        <v>1350</v>
      </c>
      <c r="H360" s="20" t="s">
        <v>1351</v>
      </c>
      <c r="I360" s="5" t="s">
        <v>804</v>
      </c>
      <c r="J360" s="4" t="s">
        <v>689</v>
      </c>
      <c r="K360" s="4" t="str" cm="1">
        <f t="array" ref="K36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06. Chất lượng Tín dụng và Quản lý Cấp tín dụng</v>
      </c>
      <c r="L360" s="4" t="s">
        <v>688</v>
      </c>
      <c r="M360" s="4" t="s">
        <v>587</v>
      </c>
      <c r="N360" s="4" t="s">
        <v>1696</v>
      </c>
      <c r="O360" s="4" t="s">
        <v>191</v>
      </c>
      <c r="P360" s="6">
        <v>46262</v>
      </c>
      <c r="Q360" s="6">
        <v>46262</v>
      </c>
      <c r="R360" s="5">
        <v>1</v>
      </c>
      <c r="S360" s="5" t="s">
        <v>503</v>
      </c>
      <c r="T360" s="13">
        <v>46275</v>
      </c>
      <c r="U360" s="13">
        <v>46275</v>
      </c>
      <c r="V360" s="5">
        <v>0</v>
      </c>
      <c r="W360" s="22">
        <f>_xlfn.LET(
_xlpm.H,Table1[[#This Row],[Thời hạn mới nhất (Date)]],
_xlpm.S,Table1[[#This Row],[Snapshot]],
IF(
    ISNUMBER(_xlpm.H),
    INT(_xlpm.H)-INT(_xlpm.S),
    "Không giao thời hạn"
))</f>
        <v>0</v>
      </c>
      <c r="X360" s="4" t="s">
        <v>805</v>
      </c>
      <c r="Y360" s="5"/>
      <c r="Z360" s="5" t="s">
        <v>35</v>
      </c>
      <c r="AA360" s="5"/>
      <c r="AB360" s="4" t="s">
        <v>806</v>
      </c>
      <c r="AC360" s="6">
        <v>46280</v>
      </c>
      <c r="AD360" s="6">
        <v>46280</v>
      </c>
      <c r="AE360" s="4">
        <v>0</v>
      </c>
      <c r="AF360" s="26">
        <f>_xlfn.LET(
_xlpm.H,Table1[[#This Row],[Thời hạn mới nhất (Date)]],
_xlpm.D,Table1[[#This Row],[Dự kiến mới nhất (Date)]],
IF(
NOT(ISNUMBER(_xlpm.H)),"Không giao thời hạn",
IF(
NOT(ISNUMBER(_xlpm.D)),"Chưa có dự kiến",
_xlpm.D-_xlpm.H
)))</f>
        <v>5</v>
      </c>
    </row>
    <row r="361" spans="1:32" ht="145.75" x14ac:dyDescent="0.4">
      <c r="A361" s="44">
        <v>46282</v>
      </c>
      <c r="B361" s="4" t="s">
        <v>292</v>
      </c>
      <c r="C361" s="5" t="s">
        <v>266</v>
      </c>
      <c r="D361" s="5">
        <v>20</v>
      </c>
      <c r="E361" s="5" t="str">
        <f>_xlfn.TEXTJOIN("+",TRUE,Table1[[#This Row],[Snapshot]:[ID]])</f>
        <v>46282+DIR-C50933C7A559</v>
      </c>
      <c r="F361" s="5"/>
      <c r="G361" s="5" t="s">
        <v>2015</v>
      </c>
      <c r="H361" s="20" t="s">
        <v>2016</v>
      </c>
      <c r="I361" s="5" t="s">
        <v>85</v>
      </c>
      <c r="J361" s="4" t="s">
        <v>30</v>
      </c>
      <c r="K361" s="4" t="str" cm="1">
        <f t="array" ref="K36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361" s="4" t="s">
        <v>266</v>
      </c>
      <c r="M361" s="4" t="s">
        <v>293</v>
      </c>
      <c r="N361" s="4" t="s">
        <v>1718</v>
      </c>
      <c r="O361" s="4" t="s">
        <v>181</v>
      </c>
      <c r="P361" s="13">
        <v>46270</v>
      </c>
      <c r="Q361" s="13">
        <v>46270</v>
      </c>
      <c r="R361" s="5">
        <v>1</v>
      </c>
      <c r="S361" s="5" t="s">
        <v>294</v>
      </c>
      <c r="T361" s="13">
        <v>46276</v>
      </c>
      <c r="U361" s="13">
        <v>46276</v>
      </c>
      <c r="V361" s="5">
        <v>0</v>
      </c>
      <c r="W361" s="22">
        <f>_xlfn.LET(
_xlpm.H,Table1[[#This Row],[Thời hạn mới nhất (Date)]],
_xlpm.S,Table1[[#This Row],[Snapshot]],
IF(
    ISNUMBER(_xlpm.H),
    INT(_xlpm.H)-INT(_xlpm.S),
    "Không giao thời hạn"
))</f>
        <v>-6</v>
      </c>
      <c r="X361" s="4" t="s">
        <v>295</v>
      </c>
      <c r="Y361" s="5" t="s">
        <v>35</v>
      </c>
      <c r="Z361" s="5"/>
      <c r="AA361" s="5"/>
      <c r="AB361" s="4"/>
      <c r="AC361" s="6"/>
      <c r="AD361" s="6"/>
      <c r="AE361" s="4">
        <v>0</v>
      </c>
      <c r="AF361" s="26" t="str">
        <f>_xlfn.LET(
_xlpm.H,Table1[[#This Row],[Thời hạn mới nhất (Date)]],
_xlpm.D,Table1[[#This Row],[Dự kiến mới nhất (Date)]],
IF(
NOT(ISNUMBER(_xlpm.H)),"Không giao thời hạn",
IF(
NOT(ISNUMBER(_xlpm.D)),"Chưa có dự kiến",
_xlpm.D-_xlpm.H
)))</f>
        <v>Chưa có dự kiến</v>
      </c>
    </row>
    <row r="362" spans="1:32" ht="160.30000000000001" x14ac:dyDescent="0.4">
      <c r="A362" s="44">
        <v>46275</v>
      </c>
      <c r="B362" s="4" t="s">
        <v>292</v>
      </c>
      <c r="C362" s="5" t="s">
        <v>266</v>
      </c>
      <c r="D362" s="5">
        <v>20</v>
      </c>
      <c r="E362" s="5" t="str">
        <f>_xlfn.TEXTJOIN("+",TRUE,Table1[[#This Row],[Snapshot]:[ID]])</f>
        <v>46275+DIR-C50933C7A559</v>
      </c>
      <c r="F362" s="5"/>
      <c r="G362" s="5" t="s">
        <v>2017</v>
      </c>
      <c r="H362" s="20" t="s">
        <v>2018</v>
      </c>
      <c r="I362" s="5" t="s">
        <v>85</v>
      </c>
      <c r="J362" s="4" t="s">
        <v>30</v>
      </c>
      <c r="K362" s="4" t="str" cm="1">
        <f t="array" ref="K36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362" s="4" t="s">
        <v>266</v>
      </c>
      <c r="M362" s="4" t="s">
        <v>293</v>
      </c>
      <c r="N362" s="4" t="s">
        <v>1718</v>
      </c>
      <c r="O362" s="4" t="s">
        <v>181</v>
      </c>
      <c r="P362" s="13">
        <v>46270</v>
      </c>
      <c r="Q362" s="13">
        <v>46270</v>
      </c>
      <c r="R362" s="5">
        <v>1</v>
      </c>
      <c r="S362" s="5" t="s">
        <v>294</v>
      </c>
      <c r="T362" s="13">
        <v>46276</v>
      </c>
      <c r="U362" s="13">
        <v>46276</v>
      </c>
      <c r="V362" s="5">
        <v>0</v>
      </c>
      <c r="W362" s="22">
        <f>_xlfn.LET(
_xlpm.H,Table1[[#This Row],[Thời hạn mới nhất (Date)]],
_xlpm.S,Table1[[#This Row],[Snapshot]],
IF(
    ISNUMBER(_xlpm.H),
    INT(_xlpm.H)-INT(_xlpm.S),
    "Không giao thời hạn"
))</f>
        <v>1</v>
      </c>
      <c r="X362" s="4" t="s">
        <v>295</v>
      </c>
      <c r="Y362" s="5" t="s">
        <v>35</v>
      </c>
      <c r="Z362" s="5"/>
      <c r="AA362" s="5"/>
      <c r="AB362" s="4"/>
      <c r="AC362" s="6"/>
      <c r="AD362" s="6"/>
      <c r="AE362" s="4">
        <v>0</v>
      </c>
      <c r="AF362" s="26" t="str">
        <f>_xlfn.LET(
_xlpm.H,Table1[[#This Row],[Thời hạn mới nhất (Date)]],
_xlpm.D,Table1[[#This Row],[Dự kiến mới nhất (Date)]],
IF(
NOT(ISNUMBER(_xlpm.H)),"Không giao thời hạn",
IF(
NOT(ISNUMBER(_xlpm.D)),"Chưa có dự kiến",
_xlpm.D-_xlpm.H
)))</f>
        <v>Chưa có dự kiến</v>
      </c>
    </row>
    <row r="363" spans="1:32" ht="160.30000000000001" x14ac:dyDescent="0.4">
      <c r="A363" s="44">
        <v>46282</v>
      </c>
      <c r="B363" s="4" t="s">
        <v>151</v>
      </c>
      <c r="C363" s="5" t="s">
        <v>44</v>
      </c>
      <c r="D363" s="5">
        <v>38</v>
      </c>
      <c r="E363" s="5" t="str">
        <f>_xlfn.TEXTJOIN("+",TRUE,Table1[[#This Row],[Snapshot]:[ID]])</f>
        <v>46282+DIR-C5400DDD38CE</v>
      </c>
      <c r="F363" s="5"/>
      <c r="G363" s="5" t="s">
        <v>1291</v>
      </c>
      <c r="H363" s="20" t="s">
        <v>1292</v>
      </c>
      <c r="I363" s="5" t="s">
        <v>174</v>
      </c>
      <c r="J363" s="4" t="s">
        <v>30</v>
      </c>
      <c r="K363" s="4" t="str" cm="1">
        <f t="array" ref="K36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363" s="4" t="s">
        <v>44</v>
      </c>
      <c r="M363" s="4" t="s">
        <v>153</v>
      </c>
      <c r="N363" s="4" t="s">
        <v>1714</v>
      </c>
      <c r="O363" s="4" t="s">
        <v>154</v>
      </c>
      <c r="P363" s="6">
        <v>46200</v>
      </c>
      <c r="Q363" s="6">
        <v>46200</v>
      </c>
      <c r="R363" s="5">
        <v>1</v>
      </c>
      <c r="S363" s="5" t="s">
        <v>155</v>
      </c>
      <c r="T363" s="13">
        <v>46218</v>
      </c>
      <c r="U363" s="13">
        <v>46218</v>
      </c>
      <c r="V363" s="5">
        <v>0</v>
      </c>
      <c r="W363" s="22">
        <f>_xlfn.LET(
_xlpm.H,Table1[[#This Row],[Thời hạn mới nhất (Date)]],
_xlpm.S,Table1[[#This Row],[Snapshot]],
IF(
    ISNUMBER(_xlpm.H),
    INT(_xlpm.H)-INT(_xlpm.S),
    "Không giao thời hạn"
))</f>
        <v>-64</v>
      </c>
      <c r="X363" s="4" t="s">
        <v>156</v>
      </c>
      <c r="Y363" s="5"/>
      <c r="Z363" s="5" t="s">
        <v>35</v>
      </c>
      <c r="AA363" s="5"/>
      <c r="AB363" s="4"/>
      <c r="AC363" s="6"/>
      <c r="AD363" s="6"/>
      <c r="AE363" s="4">
        <v>0</v>
      </c>
      <c r="AF363" s="26" t="str">
        <f>_xlfn.LET(
_xlpm.H,Table1[[#This Row],[Thời hạn mới nhất (Date)]],
_xlpm.D,Table1[[#This Row],[Dự kiến mới nhất (Date)]],
IF(
NOT(ISNUMBER(_xlpm.H)),"Không giao thời hạn",
IF(
NOT(ISNUMBER(_xlpm.D)),"Chưa có dự kiến",
_xlpm.D-_xlpm.H
)))</f>
        <v>Chưa có dự kiến</v>
      </c>
    </row>
    <row r="364" spans="1:32" ht="145.75" x14ac:dyDescent="0.4">
      <c r="A364" s="44">
        <v>46275</v>
      </c>
      <c r="B364" s="4" t="s">
        <v>151</v>
      </c>
      <c r="C364" s="5" t="s">
        <v>44</v>
      </c>
      <c r="D364" s="5">
        <v>34</v>
      </c>
      <c r="E364" s="5" t="str">
        <f>_xlfn.TEXTJOIN("+",TRUE,Table1[[#This Row],[Snapshot]:[ID]])</f>
        <v>46275+DIR-C5400DDD38CE</v>
      </c>
      <c r="F364" s="5"/>
      <c r="G364" s="5" t="s">
        <v>1293</v>
      </c>
      <c r="H364" s="20" t="s">
        <v>1294</v>
      </c>
      <c r="I364" s="5" t="s">
        <v>152</v>
      </c>
      <c r="J364" s="4" t="s">
        <v>30</v>
      </c>
      <c r="K364" s="4" t="str" cm="1">
        <f t="array" ref="K36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364" s="4" t="s">
        <v>44</v>
      </c>
      <c r="M364" s="4" t="s">
        <v>153</v>
      </c>
      <c r="N364" s="4" t="s">
        <v>1714</v>
      </c>
      <c r="O364" s="4" t="s">
        <v>154</v>
      </c>
      <c r="P364" s="6">
        <v>46200</v>
      </c>
      <c r="Q364" s="6">
        <v>46200</v>
      </c>
      <c r="R364" s="5">
        <v>1</v>
      </c>
      <c r="S364" s="5" t="s">
        <v>155</v>
      </c>
      <c r="T364" s="13">
        <v>46218</v>
      </c>
      <c r="U364" s="13">
        <v>46218</v>
      </c>
      <c r="V364" s="5">
        <v>0</v>
      </c>
      <c r="W364" s="22">
        <f>_xlfn.LET(
_xlpm.H,Table1[[#This Row],[Thời hạn mới nhất (Date)]],
_xlpm.S,Table1[[#This Row],[Snapshot]],
IF(
    ISNUMBER(_xlpm.H),
    INT(_xlpm.H)-INT(_xlpm.S),
    "Không giao thời hạn"
))</f>
        <v>-57</v>
      </c>
      <c r="X364" s="4" t="s">
        <v>156</v>
      </c>
      <c r="Y364" s="5"/>
      <c r="Z364" s="5" t="s">
        <v>35</v>
      </c>
      <c r="AA364" s="5"/>
      <c r="AB364" s="4"/>
      <c r="AC364" s="6"/>
      <c r="AD364" s="6"/>
      <c r="AE364" s="4">
        <v>0</v>
      </c>
      <c r="AF364" s="26" t="str">
        <f>_xlfn.LET(
_xlpm.H,Table1[[#This Row],[Thời hạn mới nhất (Date)]],
_xlpm.D,Table1[[#This Row],[Dự kiến mới nhất (Date)]],
IF(
NOT(ISNUMBER(_xlpm.H)),"Không giao thời hạn",
IF(
NOT(ISNUMBER(_xlpm.D)),"Chưa có dự kiến",
_xlpm.D-_xlpm.H
)))</f>
        <v>Chưa có dự kiến</v>
      </c>
    </row>
    <row r="365" spans="1:32" ht="116.6" x14ac:dyDescent="0.4">
      <c r="A365" s="44">
        <v>46282</v>
      </c>
      <c r="B365" s="4" t="s">
        <v>870</v>
      </c>
      <c r="C365" s="5" t="s">
        <v>861</v>
      </c>
      <c r="D365" s="5">
        <v>16</v>
      </c>
      <c r="E365" s="5" t="str">
        <f>_xlfn.TEXTJOIN("+",TRUE,Table1[[#This Row],[Snapshot]:[ID]])</f>
        <v>46282+DIR-C606D1C650EC</v>
      </c>
      <c r="F365" s="5"/>
      <c r="G365" s="5" t="s">
        <v>2019</v>
      </c>
      <c r="H365" s="20" t="s">
        <v>2020</v>
      </c>
      <c r="I365" s="5" t="s">
        <v>45</v>
      </c>
      <c r="J365" s="4" t="s">
        <v>200</v>
      </c>
      <c r="K365" s="4" t="str" cm="1">
        <f t="array" ref="K36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365" s="4" t="s">
        <v>861</v>
      </c>
      <c r="M365" s="4" t="s">
        <v>871</v>
      </c>
      <c r="N365" s="4" t="s">
        <v>1709</v>
      </c>
      <c r="O365" s="4" t="s">
        <v>143</v>
      </c>
      <c r="P365" s="6">
        <v>46186</v>
      </c>
      <c r="Q365" s="6">
        <v>46186</v>
      </c>
      <c r="R365" s="5">
        <v>1</v>
      </c>
      <c r="S365" s="5"/>
      <c r="T365" s="13"/>
      <c r="U365" s="13"/>
      <c r="V365" s="5">
        <v>0</v>
      </c>
      <c r="W365" s="22" t="str">
        <f>_xlfn.LET(
_xlpm.H,Table1[[#This Row],[Thời hạn mới nhất (Date)]],
_xlpm.S,Table1[[#This Row],[Snapshot]],
IF(
    ISNUMBER(_xlpm.H),
    INT(_xlpm.H)-INT(_xlpm.S),
    "Không giao thời hạn"
))</f>
        <v>Không giao thời hạn</v>
      </c>
      <c r="X365" s="4" t="s">
        <v>872</v>
      </c>
      <c r="Y365" s="5"/>
      <c r="Z365" s="5" t="s">
        <v>35</v>
      </c>
      <c r="AA365" s="5"/>
      <c r="AB365" s="4"/>
      <c r="AC365" s="6"/>
      <c r="AD365" s="6"/>
      <c r="AE365" s="4">
        <v>0</v>
      </c>
      <c r="AF365" s="26" t="str">
        <f>_xlfn.LET(
_xlpm.H,Table1[[#This Row],[Thời hạn mới nhất (Date)]],
_xlpm.D,Table1[[#This Row],[Dự kiến mới nhất (Date)]],
IF(
NOT(ISNUMBER(_xlpm.H)),"Không giao thời hạn",
IF(
NOT(ISNUMBER(_xlpm.D)),"Chưa có dự kiến",
_xlpm.D-_xlpm.H
)))</f>
        <v>Không giao thời hạn</v>
      </c>
    </row>
    <row r="366" spans="1:32" ht="160.30000000000001" x14ac:dyDescent="0.4">
      <c r="A366" s="44">
        <v>46275</v>
      </c>
      <c r="B366" s="4" t="s">
        <v>870</v>
      </c>
      <c r="C366" s="5" t="s">
        <v>861</v>
      </c>
      <c r="D366" s="5">
        <v>17</v>
      </c>
      <c r="E366" s="5" t="str">
        <f>_xlfn.TEXTJOIN("+",TRUE,Table1[[#This Row],[Snapshot]:[ID]])</f>
        <v>46275+DIR-C606D1C650EC</v>
      </c>
      <c r="F366" s="5"/>
      <c r="G366" s="5" t="s">
        <v>2021</v>
      </c>
      <c r="H366" s="20" t="s">
        <v>2022</v>
      </c>
      <c r="I366" s="5" t="s">
        <v>45</v>
      </c>
      <c r="J366" s="4" t="s">
        <v>200</v>
      </c>
      <c r="K366" s="4" t="str" cm="1">
        <f t="array" ref="K36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366" s="4" t="s">
        <v>861</v>
      </c>
      <c r="M366" s="4" t="s">
        <v>871</v>
      </c>
      <c r="N366" s="4" t="s">
        <v>1709</v>
      </c>
      <c r="O366" s="4" t="s">
        <v>143</v>
      </c>
      <c r="P366" s="6">
        <v>46186</v>
      </c>
      <c r="Q366" s="6">
        <v>46186</v>
      </c>
      <c r="R366" s="5">
        <v>1</v>
      </c>
      <c r="S366" s="5"/>
      <c r="T366" s="13"/>
      <c r="U366" s="13"/>
      <c r="V366" s="5">
        <v>0</v>
      </c>
      <c r="W366" s="22" t="str">
        <f>_xlfn.LET(
_xlpm.H,Table1[[#This Row],[Thời hạn mới nhất (Date)]],
_xlpm.S,Table1[[#This Row],[Snapshot]],
IF(
    ISNUMBER(_xlpm.H),
    INT(_xlpm.H)-INT(_xlpm.S),
    "Không giao thời hạn"
))</f>
        <v>Không giao thời hạn</v>
      </c>
      <c r="X366" s="4" t="s">
        <v>872</v>
      </c>
      <c r="Y366" s="5"/>
      <c r="Z366" s="5" t="s">
        <v>35</v>
      </c>
      <c r="AA366" s="5"/>
      <c r="AB366" s="4"/>
      <c r="AC366" s="6"/>
      <c r="AD366" s="6"/>
      <c r="AE366" s="4">
        <v>0</v>
      </c>
      <c r="AF366" s="26" t="str">
        <f>_xlfn.LET(
_xlpm.H,Table1[[#This Row],[Thời hạn mới nhất (Date)]],
_xlpm.D,Table1[[#This Row],[Dự kiến mới nhất (Date)]],
IF(
NOT(ISNUMBER(_xlpm.H)),"Không giao thời hạn",
IF(
NOT(ISNUMBER(_xlpm.D)),"Chưa có dự kiến",
_xlpm.D-_xlpm.H
)))</f>
        <v>Không giao thời hạn</v>
      </c>
    </row>
    <row r="367" spans="1:32" ht="160.30000000000001" x14ac:dyDescent="0.4">
      <c r="A367" s="44">
        <v>46282</v>
      </c>
      <c r="B367" s="4" t="s">
        <v>247</v>
      </c>
      <c r="C367" s="5" t="s">
        <v>44</v>
      </c>
      <c r="D367" s="5">
        <v>57</v>
      </c>
      <c r="E367" s="5" t="str">
        <f>_xlfn.TEXTJOIN("+",TRUE,Table1[[#This Row],[Snapshot]:[ID]])</f>
        <v>46282+DIR-C725AD11D5B7</v>
      </c>
      <c r="F367" s="5"/>
      <c r="G367" s="20" t="s">
        <v>1266</v>
      </c>
      <c r="H367" s="20" t="s">
        <v>1267</v>
      </c>
      <c r="I367" s="5" t="s">
        <v>57</v>
      </c>
      <c r="J367" s="4" t="s">
        <v>200</v>
      </c>
      <c r="K367" s="4" t="str" cm="1">
        <f t="array" ref="K36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03. Kiến trúc Công nghệ, Hạ tầng và Tài sản Phần mềm</v>
      </c>
      <c r="L367" s="4" t="s">
        <v>44</v>
      </c>
      <c r="M367" s="4" t="s">
        <v>248</v>
      </c>
      <c r="N367" s="4" t="s">
        <v>1706</v>
      </c>
      <c r="O367" s="4" t="s">
        <v>249</v>
      </c>
      <c r="P367" s="6">
        <v>45933</v>
      </c>
      <c r="Q367" s="6">
        <v>45933</v>
      </c>
      <c r="R367" s="5">
        <v>1</v>
      </c>
      <c r="S367" s="5" t="s">
        <v>250</v>
      </c>
      <c r="T367" s="13">
        <v>46022</v>
      </c>
      <c r="U367" s="13">
        <v>46022</v>
      </c>
      <c r="V367" s="5">
        <v>0</v>
      </c>
      <c r="W367" s="22">
        <f>_xlfn.LET(
_xlpm.H,Table1[[#This Row],[Thời hạn mới nhất (Date)]],
_xlpm.S,Table1[[#This Row],[Snapshot]],
IF(
    ISNUMBER(_xlpm.H),
    INT(_xlpm.H)-INT(_xlpm.S),
    "Không giao thời hạn"
))</f>
        <v>-260</v>
      </c>
      <c r="X367" s="4" t="s">
        <v>251</v>
      </c>
      <c r="Y367" s="5"/>
      <c r="Z367" s="5" t="s">
        <v>35</v>
      </c>
      <c r="AA367" s="5"/>
      <c r="AB367" s="4" t="s">
        <v>50</v>
      </c>
      <c r="AC367" s="6"/>
      <c r="AD367" s="6"/>
      <c r="AE367" s="4">
        <v>0</v>
      </c>
      <c r="AF367" s="26" t="str">
        <f>_xlfn.LET(
_xlpm.H,Table1[[#This Row],[Thời hạn mới nhất (Date)]],
_xlpm.D,Table1[[#This Row],[Dự kiến mới nhất (Date)]],
IF(
NOT(ISNUMBER(_xlpm.H)),"Không giao thời hạn",
IF(
NOT(ISNUMBER(_xlpm.D)),"Chưa có dự kiến",
_xlpm.D-_xlpm.H
)))</f>
        <v>Chưa có dự kiến</v>
      </c>
    </row>
    <row r="368" spans="1:32" ht="116.6" x14ac:dyDescent="0.4">
      <c r="A368" s="44">
        <v>46275</v>
      </c>
      <c r="B368" s="4" t="s">
        <v>247</v>
      </c>
      <c r="C368" s="5" t="s">
        <v>44</v>
      </c>
      <c r="D368" s="5">
        <v>58</v>
      </c>
      <c r="E368" s="5" t="str">
        <f>_xlfn.TEXTJOIN("+",TRUE,Table1[[#This Row],[Snapshot]:[ID]])</f>
        <v>46275+DIR-C725AD11D5B7</v>
      </c>
      <c r="F368" s="5"/>
      <c r="G368" s="20" t="s">
        <v>1268</v>
      </c>
      <c r="H368" s="20" t="s">
        <v>1269</v>
      </c>
      <c r="I368" s="5" t="s">
        <v>57</v>
      </c>
      <c r="J368" s="4" t="s">
        <v>200</v>
      </c>
      <c r="K368" s="4" t="str" cm="1">
        <f t="array" ref="K36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03. Kiến trúc Công nghệ, Hạ tầng và Tài sản Phần mềm</v>
      </c>
      <c r="L368" s="4" t="s">
        <v>44</v>
      </c>
      <c r="M368" s="4" t="s">
        <v>248</v>
      </c>
      <c r="N368" s="4" t="s">
        <v>1706</v>
      </c>
      <c r="O368" s="4" t="s">
        <v>249</v>
      </c>
      <c r="P368" s="6">
        <v>45933</v>
      </c>
      <c r="Q368" s="6">
        <v>45933</v>
      </c>
      <c r="R368" s="5">
        <v>1</v>
      </c>
      <c r="S368" s="5" t="s">
        <v>250</v>
      </c>
      <c r="T368" s="13">
        <v>46022</v>
      </c>
      <c r="U368" s="13">
        <v>46022</v>
      </c>
      <c r="V368" s="5">
        <v>0</v>
      </c>
      <c r="W368" s="22">
        <f>_xlfn.LET(
_xlpm.H,Table1[[#This Row],[Thời hạn mới nhất (Date)]],
_xlpm.S,Table1[[#This Row],[Snapshot]],
IF(
    ISNUMBER(_xlpm.H),
    INT(_xlpm.H)-INT(_xlpm.S),
    "Không giao thời hạn"
))</f>
        <v>-253</v>
      </c>
      <c r="X368" s="4" t="s">
        <v>251</v>
      </c>
      <c r="Y368" s="5"/>
      <c r="Z368" s="5" t="s">
        <v>35</v>
      </c>
      <c r="AA368" s="5"/>
      <c r="AB368" s="4" t="s">
        <v>50</v>
      </c>
      <c r="AC368" s="6"/>
      <c r="AD368" s="6"/>
      <c r="AE368" s="4">
        <v>0</v>
      </c>
      <c r="AF368" s="26" t="str">
        <f>_xlfn.LET(
_xlpm.H,Table1[[#This Row],[Thời hạn mới nhất (Date)]],
_xlpm.D,Table1[[#This Row],[Dự kiến mới nhất (Date)]],
IF(
NOT(ISNUMBER(_xlpm.H)),"Không giao thời hạn",
IF(
NOT(ISNUMBER(_xlpm.D)),"Chưa có dự kiến",
_xlpm.D-_xlpm.H
)))</f>
        <v>Chưa có dự kiến</v>
      </c>
    </row>
    <row r="369" spans="1:32" ht="145.75" x14ac:dyDescent="0.4">
      <c r="A369" s="44">
        <v>46282</v>
      </c>
      <c r="B369" s="4" t="s">
        <v>436</v>
      </c>
      <c r="C369" s="5" t="s">
        <v>352</v>
      </c>
      <c r="D369" s="5">
        <v>35</v>
      </c>
      <c r="E369" s="5" t="str">
        <f>_xlfn.TEXTJOIN("+",TRUE,Table1[[#This Row],[Snapshot]:[ID]])</f>
        <v>46282+DIR-C7A23EE3253E</v>
      </c>
      <c r="F369" s="5"/>
      <c r="G369" s="5" t="s">
        <v>2023</v>
      </c>
      <c r="H369" s="20" t="s">
        <v>2024</v>
      </c>
      <c r="I369" s="5" t="s">
        <v>45</v>
      </c>
      <c r="J369" s="4" t="s">
        <v>200</v>
      </c>
      <c r="K369" s="4" t="str" cm="1">
        <f t="array" ref="K36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22. Kết nối Số, Thu hộ và Dịch vụ Thanh toán</v>
      </c>
      <c r="L369" s="4" t="s">
        <v>352</v>
      </c>
      <c r="M369" s="4" t="s">
        <v>437</v>
      </c>
      <c r="N369" s="4" t="s">
        <v>1702</v>
      </c>
      <c r="O369" s="4" t="s">
        <v>234</v>
      </c>
      <c r="P369" s="6">
        <v>45926</v>
      </c>
      <c r="Q369" s="6">
        <v>45926</v>
      </c>
      <c r="R369" s="5">
        <v>1</v>
      </c>
      <c r="S369" s="5"/>
      <c r="T369" s="13"/>
      <c r="U369" s="13"/>
      <c r="V369" s="5">
        <v>0</v>
      </c>
      <c r="W369" s="22" t="str">
        <f>_xlfn.LET(
_xlpm.H,Table1[[#This Row],[Thời hạn mới nhất (Date)]],
_xlpm.S,Table1[[#This Row],[Snapshot]],
IF(
    ISNUMBER(_xlpm.H),
    INT(_xlpm.H)-INT(_xlpm.S),
    "Không giao thời hạn"
))</f>
        <v>Không giao thời hạn</v>
      </c>
      <c r="X369" s="4" t="s">
        <v>438</v>
      </c>
      <c r="Y369" s="5"/>
      <c r="Z369" s="5" t="s">
        <v>35</v>
      </c>
      <c r="AA369" s="5"/>
      <c r="AB369" s="4" t="s">
        <v>439</v>
      </c>
      <c r="AC369" s="6"/>
      <c r="AD369" s="6"/>
      <c r="AE369" s="4">
        <v>0</v>
      </c>
      <c r="AF369" s="26" t="str">
        <f>_xlfn.LET(
_xlpm.H,Table1[[#This Row],[Thời hạn mới nhất (Date)]],
_xlpm.D,Table1[[#This Row],[Dự kiến mới nhất (Date)]],
IF(
NOT(ISNUMBER(_xlpm.H)),"Không giao thời hạn",
IF(
NOT(ISNUMBER(_xlpm.D)),"Chưa có dự kiến",
_xlpm.D-_xlpm.H
)))</f>
        <v>Không giao thời hạn</v>
      </c>
    </row>
    <row r="370" spans="1:32" ht="160.30000000000001" x14ac:dyDescent="0.4">
      <c r="A370" s="44">
        <v>46275</v>
      </c>
      <c r="B370" s="4" t="s">
        <v>436</v>
      </c>
      <c r="C370" s="5" t="s">
        <v>352</v>
      </c>
      <c r="D370" s="5">
        <v>36</v>
      </c>
      <c r="E370" s="5" t="str">
        <f>_xlfn.TEXTJOIN("+",TRUE,Table1[[#This Row],[Snapshot]:[ID]])</f>
        <v>46275+DIR-C7A23EE3253E</v>
      </c>
      <c r="F370" s="5"/>
      <c r="G370" s="5" t="s">
        <v>2025</v>
      </c>
      <c r="H370" s="20" t="s">
        <v>2026</v>
      </c>
      <c r="I370" s="5" t="s">
        <v>45</v>
      </c>
      <c r="J370" s="4" t="s">
        <v>200</v>
      </c>
      <c r="K370" s="4" t="str" cm="1">
        <f t="array" ref="K37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22. Kết nối Số, Thu hộ và Dịch vụ Thanh toán</v>
      </c>
      <c r="L370" s="4" t="s">
        <v>352</v>
      </c>
      <c r="M370" s="4" t="s">
        <v>437</v>
      </c>
      <c r="N370" s="4" t="s">
        <v>1702</v>
      </c>
      <c r="O370" s="4" t="s">
        <v>234</v>
      </c>
      <c r="P370" s="6">
        <v>45926</v>
      </c>
      <c r="Q370" s="6">
        <v>45926</v>
      </c>
      <c r="R370" s="5">
        <v>1</v>
      </c>
      <c r="S370" s="5"/>
      <c r="T370" s="13"/>
      <c r="U370" s="13"/>
      <c r="V370" s="5">
        <v>0</v>
      </c>
      <c r="W370" s="22" t="str">
        <f>_xlfn.LET(
_xlpm.H,Table1[[#This Row],[Thời hạn mới nhất (Date)]],
_xlpm.S,Table1[[#This Row],[Snapshot]],
IF(
    ISNUMBER(_xlpm.H),
    INT(_xlpm.H)-INT(_xlpm.S),
    "Không giao thời hạn"
))</f>
        <v>Không giao thời hạn</v>
      </c>
      <c r="X370" s="4" t="s">
        <v>438</v>
      </c>
      <c r="Y370" s="5"/>
      <c r="Z370" s="5" t="s">
        <v>35</v>
      </c>
      <c r="AA370" s="5"/>
      <c r="AB370" s="4" t="s">
        <v>439</v>
      </c>
      <c r="AC370" s="6"/>
      <c r="AD370" s="6"/>
      <c r="AE370" s="4">
        <v>0</v>
      </c>
      <c r="AF370" s="26" t="str">
        <f>_xlfn.LET(
_xlpm.H,Table1[[#This Row],[Thời hạn mới nhất (Date)]],
_xlpm.D,Table1[[#This Row],[Dự kiến mới nhất (Date)]],
IF(
NOT(ISNUMBER(_xlpm.H)),"Không giao thời hạn",
IF(
NOT(ISNUMBER(_xlpm.D)),"Chưa có dự kiến",
_xlpm.D-_xlpm.H
)))</f>
        <v>Không giao thời hạn</v>
      </c>
    </row>
    <row r="371" spans="1:32" ht="160.30000000000001" x14ac:dyDescent="0.4">
      <c r="A371" s="44">
        <v>46282</v>
      </c>
      <c r="B371" s="4" t="s">
        <v>860</v>
      </c>
      <c r="C371" s="5" t="s">
        <v>861</v>
      </c>
      <c r="D371" s="5">
        <v>13</v>
      </c>
      <c r="E371" s="5" t="str">
        <f>_xlfn.TEXTJOIN("+",TRUE,Table1[[#This Row],[Snapshot]:[ID]])</f>
        <v>46282+DIR-C84EDFCC81E3</v>
      </c>
      <c r="F371" s="5"/>
      <c r="G371" s="20" t="s">
        <v>1270</v>
      </c>
      <c r="H371" s="20" t="s">
        <v>1271</v>
      </c>
      <c r="I371" s="5" t="s">
        <v>45</v>
      </c>
      <c r="J371" s="4" t="s">
        <v>30</v>
      </c>
      <c r="K371" s="4" t="str" cm="1">
        <f t="array" ref="K37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371" s="4" t="s">
        <v>861</v>
      </c>
      <c r="M371" s="4" t="s">
        <v>862</v>
      </c>
      <c r="N371" s="4" t="s">
        <v>1709</v>
      </c>
      <c r="O371" s="4" t="s">
        <v>383</v>
      </c>
      <c r="P371" s="6">
        <v>46109</v>
      </c>
      <c r="Q371" s="6">
        <v>46109</v>
      </c>
      <c r="R371" s="5">
        <v>1</v>
      </c>
      <c r="S371" s="5" t="s">
        <v>863</v>
      </c>
      <c r="T371" s="13">
        <v>46116</v>
      </c>
      <c r="U371" s="13">
        <v>46116</v>
      </c>
      <c r="V371" s="5">
        <v>0</v>
      </c>
      <c r="W371" s="22">
        <f>_xlfn.LET(
_xlpm.H,Table1[[#This Row],[Thời hạn mới nhất (Date)]],
_xlpm.S,Table1[[#This Row],[Snapshot]],
IF(
    ISNUMBER(_xlpm.H),
    INT(_xlpm.H)-INT(_xlpm.S),
    "Không giao thời hạn"
))</f>
        <v>-166</v>
      </c>
      <c r="X371" s="4" t="s">
        <v>864</v>
      </c>
      <c r="Y371" s="5"/>
      <c r="Z371" s="5" t="s">
        <v>35</v>
      </c>
      <c r="AA371" s="5"/>
      <c r="AB371" s="4" t="s">
        <v>695</v>
      </c>
      <c r="AC371" s="6">
        <v>46295</v>
      </c>
      <c r="AD371" s="6">
        <v>46295</v>
      </c>
      <c r="AE371" s="4">
        <v>0</v>
      </c>
      <c r="AF371" s="26">
        <f>_xlfn.LET(
_xlpm.H,Table1[[#This Row],[Thời hạn mới nhất (Date)]],
_xlpm.D,Table1[[#This Row],[Dự kiến mới nhất (Date)]],
IF(
NOT(ISNUMBER(_xlpm.H)),"Không giao thời hạn",
IF(
NOT(ISNUMBER(_xlpm.D)),"Chưa có dự kiến",
_xlpm.D-_xlpm.H
)))</f>
        <v>179</v>
      </c>
    </row>
    <row r="372" spans="1:32" ht="116.6" x14ac:dyDescent="0.4">
      <c r="A372" s="44">
        <v>46275</v>
      </c>
      <c r="B372" s="4" t="s">
        <v>860</v>
      </c>
      <c r="C372" s="5" t="s">
        <v>861</v>
      </c>
      <c r="D372" s="5">
        <v>13</v>
      </c>
      <c r="E372" s="5" t="str">
        <f>_xlfn.TEXTJOIN("+",TRUE,Table1[[#This Row],[Snapshot]:[ID]])</f>
        <v>46275+DIR-C84EDFCC81E3</v>
      </c>
      <c r="F372" s="5"/>
      <c r="G372" s="20" t="s">
        <v>1272</v>
      </c>
      <c r="H372" s="20" t="s">
        <v>1273</v>
      </c>
      <c r="I372" s="5" t="s">
        <v>45</v>
      </c>
      <c r="J372" s="4" t="s">
        <v>30</v>
      </c>
      <c r="K372" s="4" t="str" cm="1">
        <f t="array" ref="K37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372" s="4" t="s">
        <v>861</v>
      </c>
      <c r="M372" s="4" t="s">
        <v>862</v>
      </c>
      <c r="N372" s="4" t="s">
        <v>1709</v>
      </c>
      <c r="O372" s="4" t="s">
        <v>383</v>
      </c>
      <c r="P372" s="6">
        <v>46109</v>
      </c>
      <c r="Q372" s="6">
        <v>46109</v>
      </c>
      <c r="R372" s="5">
        <v>1</v>
      </c>
      <c r="S372" s="5" t="s">
        <v>863</v>
      </c>
      <c r="T372" s="13">
        <v>46116</v>
      </c>
      <c r="U372" s="13">
        <v>46116</v>
      </c>
      <c r="V372" s="5">
        <v>0</v>
      </c>
      <c r="W372" s="22">
        <f>_xlfn.LET(
_xlpm.H,Table1[[#This Row],[Thời hạn mới nhất (Date)]],
_xlpm.S,Table1[[#This Row],[Snapshot]],
IF(
    ISNUMBER(_xlpm.H),
    INT(_xlpm.H)-INT(_xlpm.S),
    "Không giao thời hạn"
))</f>
        <v>-159</v>
      </c>
      <c r="X372" s="4" t="s">
        <v>864</v>
      </c>
      <c r="Y372" s="5"/>
      <c r="Z372" s="5" t="s">
        <v>35</v>
      </c>
      <c r="AA372" s="5"/>
      <c r="AB372" s="4" t="s">
        <v>695</v>
      </c>
      <c r="AC372" s="6">
        <v>46295</v>
      </c>
      <c r="AD372" s="6">
        <v>46295</v>
      </c>
      <c r="AE372" s="4">
        <v>0</v>
      </c>
      <c r="AF372" s="26">
        <f>_xlfn.LET(
_xlpm.H,Table1[[#This Row],[Thời hạn mới nhất (Date)]],
_xlpm.D,Table1[[#This Row],[Dự kiến mới nhất (Date)]],
IF(
NOT(ISNUMBER(_xlpm.H)),"Không giao thời hạn",
IF(
NOT(ISNUMBER(_xlpm.D)),"Chưa có dự kiến",
_xlpm.D-_xlpm.H
)))</f>
        <v>179</v>
      </c>
    </row>
    <row r="373" spans="1:32" ht="160.30000000000001" x14ac:dyDescent="0.4">
      <c r="A373" s="44">
        <v>46282</v>
      </c>
      <c r="B373" s="4" t="s">
        <v>282</v>
      </c>
      <c r="C373" s="5" t="s">
        <v>266</v>
      </c>
      <c r="D373" s="5">
        <v>17</v>
      </c>
      <c r="E373" s="5" t="str">
        <f>_xlfn.TEXTJOIN("+",TRUE,Table1[[#This Row],[Snapshot]:[ID]])</f>
        <v>46282+DIR-C95D070E762B</v>
      </c>
      <c r="F373" s="5"/>
      <c r="G373" s="5" t="s">
        <v>2027</v>
      </c>
      <c r="H373" s="20" t="s">
        <v>2028</v>
      </c>
      <c r="I373" s="5" t="s">
        <v>69</v>
      </c>
      <c r="J373" s="4" t="s">
        <v>30</v>
      </c>
      <c r="K373" s="4" t="str" cm="1">
        <f t="array" ref="K37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373" s="4" t="s">
        <v>266</v>
      </c>
      <c r="M373" s="4" t="s">
        <v>283</v>
      </c>
      <c r="N373" s="4" t="s">
        <v>1718</v>
      </c>
      <c r="O373" s="4" t="s">
        <v>191</v>
      </c>
      <c r="P373" s="6">
        <v>46262</v>
      </c>
      <c r="Q373" s="6">
        <v>46262</v>
      </c>
      <c r="R373" s="5">
        <v>1</v>
      </c>
      <c r="S373" s="5" t="s">
        <v>192</v>
      </c>
      <c r="T373" s="13">
        <v>46295</v>
      </c>
      <c r="U373" s="13">
        <v>46295</v>
      </c>
      <c r="V373" s="5">
        <v>0</v>
      </c>
      <c r="W373" s="22">
        <f>_xlfn.LET(
_xlpm.H,Table1[[#This Row],[Thời hạn mới nhất (Date)]],
_xlpm.S,Table1[[#This Row],[Snapshot]],
IF(
    ISNUMBER(_xlpm.H),
    INT(_xlpm.H)-INT(_xlpm.S),
    "Không giao thời hạn"
))</f>
        <v>13</v>
      </c>
      <c r="X373" s="4" t="s">
        <v>284</v>
      </c>
      <c r="Y373" s="5"/>
      <c r="Z373" s="5" t="s">
        <v>35</v>
      </c>
      <c r="AA373" s="5"/>
      <c r="AB373" s="4" t="s">
        <v>285</v>
      </c>
      <c r="AC373" s="6"/>
      <c r="AD373" s="6"/>
      <c r="AE373" s="4">
        <v>0</v>
      </c>
      <c r="AF373" s="26" t="str">
        <f>_xlfn.LET(
_xlpm.H,Table1[[#This Row],[Thời hạn mới nhất (Date)]],
_xlpm.D,Table1[[#This Row],[Dự kiến mới nhất (Date)]],
IF(
NOT(ISNUMBER(_xlpm.H)),"Không giao thời hạn",
IF(
NOT(ISNUMBER(_xlpm.D)),"Chưa có dự kiến",
_xlpm.D-_xlpm.H
)))</f>
        <v>Chưa có dự kiến</v>
      </c>
    </row>
    <row r="374" spans="1:32" ht="174.9" x14ac:dyDescent="0.4">
      <c r="A374" s="44">
        <v>46275</v>
      </c>
      <c r="B374" s="4" t="s">
        <v>282</v>
      </c>
      <c r="C374" s="5" t="s">
        <v>266</v>
      </c>
      <c r="D374" s="5">
        <v>17</v>
      </c>
      <c r="E374" s="5" t="str">
        <f>_xlfn.TEXTJOIN("+",TRUE,Table1[[#This Row],[Snapshot]:[ID]])</f>
        <v>46275+DIR-C95D070E762B</v>
      </c>
      <c r="F374" s="5"/>
      <c r="G374" s="5" t="s">
        <v>2029</v>
      </c>
      <c r="H374" s="20" t="s">
        <v>2030</v>
      </c>
      <c r="I374" s="5" t="s">
        <v>69</v>
      </c>
      <c r="J374" s="4" t="s">
        <v>30</v>
      </c>
      <c r="K374" s="4" t="str" cm="1">
        <f t="array" ref="K37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374" s="4" t="s">
        <v>266</v>
      </c>
      <c r="M374" s="4" t="s">
        <v>283</v>
      </c>
      <c r="N374" s="4" t="s">
        <v>1718</v>
      </c>
      <c r="O374" s="4" t="s">
        <v>191</v>
      </c>
      <c r="P374" s="6">
        <v>46262</v>
      </c>
      <c r="Q374" s="6">
        <v>46262</v>
      </c>
      <c r="R374" s="5">
        <v>1</v>
      </c>
      <c r="S374" s="5" t="s">
        <v>192</v>
      </c>
      <c r="T374" s="13">
        <v>46295</v>
      </c>
      <c r="U374" s="13">
        <v>46295</v>
      </c>
      <c r="V374" s="5">
        <v>0</v>
      </c>
      <c r="W374" s="22">
        <f>_xlfn.LET(
_xlpm.H,Table1[[#This Row],[Thời hạn mới nhất (Date)]],
_xlpm.S,Table1[[#This Row],[Snapshot]],
IF(
    ISNUMBER(_xlpm.H),
    INT(_xlpm.H)-INT(_xlpm.S),
    "Không giao thời hạn"
))</f>
        <v>20</v>
      </c>
      <c r="X374" s="4" t="s">
        <v>284</v>
      </c>
      <c r="Y374" s="5"/>
      <c r="Z374" s="5" t="s">
        <v>35</v>
      </c>
      <c r="AA374" s="5"/>
      <c r="AB374" s="4" t="s">
        <v>285</v>
      </c>
      <c r="AC374" s="6"/>
      <c r="AD374" s="6"/>
      <c r="AE374" s="4">
        <v>0</v>
      </c>
      <c r="AF374" s="26" t="str">
        <f>_xlfn.LET(
_xlpm.H,Table1[[#This Row],[Thời hạn mới nhất (Date)]],
_xlpm.D,Table1[[#This Row],[Dự kiến mới nhất (Date)]],
IF(
NOT(ISNUMBER(_xlpm.H)),"Không giao thời hạn",
IF(
NOT(ISNUMBER(_xlpm.D)),"Chưa có dự kiến",
_xlpm.D-_xlpm.H
)))</f>
        <v>Chưa có dự kiến</v>
      </c>
    </row>
    <row r="375" spans="1:32" ht="131.15" x14ac:dyDescent="0.4">
      <c r="A375" s="44">
        <v>46282</v>
      </c>
      <c r="B375" s="4" t="s">
        <v>232</v>
      </c>
      <c r="C375" s="5" t="s">
        <v>44</v>
      </c>
      <c r="D375" s="5">
        <v>53</v>
      </c>
      <c r="E375" s="5" t="str">
        <f>_xlfn.TEXTJOIN("+",TRUE,Table1[[#This Row],[Snapshot]:[ID]])</f>
        <v>46282+DIR-CE1DC6FF2F44</v>
      </c>
      <c r="F375" s="5"/>
      <c r="G375" s="5" t="s">
        <v>1299</v>
      </c>
      <c r="H375" s="20" t="s">
        <v>1299</v>
      </c>
      <c r="I375" s="5" t="s">
        <v>52</v>
      </c>
      <c r="J375" s="4" t="s">
        <v>200</v>
      </c>
      <c r="K375" s="4" t="str" cm="1">
        <f t="array" ref="K37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21. Kênh Ngân hàng Số và Trải nghiệm Ứng dụng</v>
      </c>
      <c r="L375" s="4" t="s">
        <v>44</v>
      </c>
      <c r="M375" s="4" t="s">
        <v>233</v>
      </c>
      <c r="N375" s="4" t="s">
        <v>1729</v>
      </c>
      <c r="O375" s="4" t="s">
        <v>234</v>
      </c>
      <c r="P375" s="6">
        <v>45926</v>
      </c>
      <c r="Q375" s="6">
        <v>45926</v>
      </c>
      <c r="R375" s="5">
        <v>1</v>
      </c>
      <c r="S375" s="5"/>
      <c r="T375" s="13"/>
      <c r="U375" s="13"/>
      <c r="V375" s="5">
        <v>0</v>
      </c>
      <c r="W375" s="22" t="str">
        <f>_xlfn.LET(
_xlpm.H,Table1[[#This Row],[Thời hạn mới nhất (Date)]],
_xlpm.S,Table1[[#This Row],[Snapshot]],
IF(
    ISNUMBER(_xlpm.H),
    INT(_xlpm.H)-INT(_xlpm.S),
    "Không giao thời hạn"
))</f>
        <v>Không giao thời hạn</v>
      </c>
      <c r="X375" s="4" t="s">
        <v>235</v>
      </c>
      <c r="Y375" s="5"/>
      <c r="Z375" s="5" t="s">
        <v>35</v>
      </c>
      <c r="AA375" s="5"/>
      <c r="AB375" s="4" t="s">
        <v>236</v>
      </c>
      <c r="AC375" s="6">
        <v>46295</v>
      </c>
      <c r="AD375" s="6">
        <v>46295</v>
      </c>
      <c r="AE375" s="4">
        <v>0</v>
      </c>
      <c r="AF375" s="26" t="str">
        <f>_xlfn.LET(
_xlpm.H,Table1[[#This Row],[Thời hạn mới nhất (Date)]],
_xlpm.D,Table1[[#This Row],[Dự kiến mới nhất (Date)]],
IF(
NOT(ISNUMBER(_xlpm.H)),"Không giao thời hạn",
IF(
NOT(ISNUMBER(_xlpm.D)),"Chưa có dự kiến",
_xlpm.D-_xlpm.H
)))</f>
        <v>Không giao thời hạn</v>
      </c>
    </row>
    <row r="376" spans="1:32" ht="131.15" x14ac:dyDescent="0.4">
      <c r="A376" s="44">
        <v>46275</v>
      </c>
      <c r="B376" s="4" t="s">
        <v>232</v>
      </c>
      <c r="C376" s="5" t="s">
        <v>44</v>
      </c>
      <c r="D376" s="5">
        <v>54</v>
      </c>
      <c r="E376" s="5" t="str">
        <f>_xlfn.TEXTJOIN("+",TRUE,Table1[[#This Row],[Snapshot]:[ID]])</f>
        <v>46275+DIR-CE1DC6FF2F44</v>
      </c>
      <c r="F376" s="5"/>
      <c r="G376" s="5" t="s">
        <v>1299</v>
      </c>
      <c r="H376" s="20" t="s">
        <v>1299</v>
      </c>
      <c r="I376" s="5" t="s">
        <v>52</v>
      </c>
      <c r="J376" s="4" t="s">
        <v>200</v>
      </c>
      <c r="K376" s="4" t="str" cm="1">
        <f t="array" ref="K37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21. Kênh Ngân hàng Số và Trải nghiệm Ứng dụng</v>
      </c>
      <c r="L376" s="4" t="s">
        <v>44</v>
      </c>
      <c r="M376" s="4" t="s">
        <v>233</v>
      </c>
      <c r="N376" s="4" t="s">
        <v>1729</v>
      </c>
      <c r="O376" s="4" t="s">
        <v>234</v>
      </c>
      <c r="P376" s="6">
        <v>45926</v>
      </c>
      <c r="Q376" s="6">
        <v>45926</v>
      </c>
      <c r="R376" s="5">
        <v>1</v>
      </c>
      <c r="S376" s="5"/>
      <c r="T376" s="13"/>
      <c r="U376" s="13"/>
      <c r="V376" s="5">
        <v>0</v>
      </c>
      <c r="W376" s="22" t="str">
        <f>_xlfn.LET(
_xlpm.H,Table1[[#This Row],[Thời hạn mới nhất (Date)]],
_xlpm.S,Table1[[#This Row],[Snapshot]],
IF(
    ISNUMBER(_xlpm.H),
    INT(_xlpm.H)-INT(_xlpm.S),
    "Không giao thời hạn"
))</f>
        <v>Không giao thời hạn</v>
      </c>
      <c r="X376" s="4" t="s">
        <v>235</v>
      </c>
      <c r="Y376" s="5"/>
      <c r="Z376" s="5" t="s">
        <v>35</v>
      </c>
      <c r="AA376" s="5"/>
      <c r="AB376" s="4" t="s">
        <v>236</v>
      </c>
      <c r="AC376" s="6">
        <v>46295</v>
      </c>
      <c r="AD376" s="6">
        <v>46295</v>
      </c>
      <c r="AE376" s="4">
        <v>0</v>
      </c>
      <c r="AF376" s="26" t="str">
        <f>_xlfn.LET(
_xlpm.H,Table1[[#This Row],[Thời hạn mới nhất (Date)]],
_xlpm.D,Table1[[#This Row],[Dự kiến mới nhất (Date)]],
IF(
NOT(ISNUMBER(_xlpm.H)),"Không giao thời hạn",
IF(
NOT(ISNUMBER(_xlpm.D)),"Chưa có dự kiến",
_xlpm.D-_xlpm.H
)))</f>
        <v>Không giao thời hạn</v>
      </c>
    </row>
    <row r="377" spans="1:32" ht="145.75" x14ac:dyDescent="0.4">
      <c r="A377" s="44">
        <v>46282</v>
      </c>
      <c r="B377" s="4" t="s">
        <v>545</v>
      </c>
      <c r="C377" s="5" t="s">
        <v>532</v>
      </c>
      <c r="D377" s="5">
        <v>16</v>
      </c>
      <c r="E377" s="5" t="str">
        <f>_xlfn.TEXTJOIN("+",TRUE,Table1[[#This Row],[Snapshot]:[ID]])</f>
        <v>46282+DIR-D15AC7ECAB6C</v>
      </c>
      <c r="F377" s="5"/>
      <c r="G377" s="5" t="s">
        <v>2031</v>
      </c>
      <c r="H377" s="20" t="s">
        <v>2032</v>
      </c>
      <c r="I377" s="5" t="s">
        <v>63</v>
      </c>
      <c r="J377" s="4" t="s">
        <v>30</v>
      </c>
      <c r="K377" s="4" t="str" cm="1">
        <f t="array" ref="K37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11. Ngân sách, Chi phí và Thẩm quyền Tài chính</v>
      </c>
      <c r="L377" s="4" t="s">
        <v>532</v>
      </c>
      <c r="M377" s="4" t="s">
        <v>546</v>
      </c>
      <c r="N377" s="4" t="s">
        <v>1717</v>
      </c>
      <c r="O377" s="4" t="s">
        <v>394</v>
      </c>
      <c r="P377" s="6">
        <v>46125</v>
      </c>
      <c r="Q377" s="6">
        <v>46125</v>
      </c>
      <c r="R377" s="5">
        <v>1</v>
      </c>
      <c r="S377" s="5"/>
      <c r="T377" s="13"/>
      <c r="U377" s="13"/>
      <c r="V377" s="5">
        <v>0</v>
      </c>
      <c r="W377" s="22" t="str">
        <f>_xlfn.LET(
_xlpm.H,Table1[[#This Row],[Thời hạn mới nhất (Date)]],
_xlpm.S,Table1[[#This Row],[Snapshot]],
IF(
    ISNUMBER(_xlpm.H),
    INT(_xlpm.H)-INT(_xlpm.S),
    "Không giao thời hạn"
))</f>
        <v>Không giao thời hạn</v>
      </c>
      <c r="X377" s="4" t="s">
        <v>547</v>
      </c>
      <c r="Y377" s="5"/>
      <c r="Z377" s="5" t="s">
        <v>35</v>
      </c>
      <c r="AA377" s="5"/>
      <c r="AB377" s="4"/>
      <c r="AC377" s="6"/>
      <c r="AD377" s="6"/>
      <c r="AE377" s="4">
        <v>0</v>
      </c>
      <c r="AF377" s="26" t="str">
        <f>_xlfn.LET(
_xlpm.H,Table1[[#This Row],[Thời hạn mới nhất (Date)]],
_xlpm.D,Table1[[#This Row],[Dự kiến mới nhất (Date)]],
IF(
NOT(ISNUMBER(_xlpm.H)),"Không giao thời hạn",
IF(
NOT(ISNUMBER(_xlpm.D)),"Chưa có dự kiến",
_xlpm.D-_xlpm.H
)))</f>
        <v>Không giao thời hạn</v>
      </c>
    </row>
    <row r="378" spans="1:32" ht="160.30000000000001" x14ac:dyDescent="0.4">
      <c r="A378" s="44">
        <v>46275</v>
      </c>
      <c r="B378" s="4" t="s">
        <v>545</v>
      </c>
      <c r="C378" s="5" t="s">
        <v>532</v>
      </c>
      <c r="D378" s="5">
        <v>16</v>
      </c>
      <c r="E378" s="5" t="str">
        <f>_xlfn.TEXTJOIN("+",TRUE,Table1[[#This Row],[Snapshot]:[ID]])</f>
        <v>46275+DIR-D15AC7ECAB6C</v>
      </c>
      <c r="F378" s="5"/>
      <c r="G378" s="5" t="s">
        <v>2033</v>
      </c>
      <c r="H378" s="20" t="s">
        <v>2034</v>
      </c>
      <c r="I378" s="5" t="s">
        <v>63</v>
      </c>
      <c r="J378" s="4" t="s">
        <v>30</v>
      </c>
      <c r="K378" s="4" t="str" cm="1">
        <f t="array" ref="K37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11. Ngân sách, Chi phí và Thẩm quyền Tài chính</v>
      </c>
      <c r="L378" s="4" t="s">
        <v>532</v>
      </c>
      <c r="M378" s="4" t="s">
        <v>546</v>
      </c>
      <c r="N378" s="4" t="s">
        <v>1717</v>
      </c>
      <c r="O378" s="4" t="s">
        <v>394</v>
      </c>
      <c r="P378" s="6">
        <v>46125</v>
      </c>
      <c r="Q378" s="6">
        <v>46125</v>
      </c>
      <c r="R378" s="5">
        <v>1</v>
      </c>
      <c r="S378" s="5"/>
      <c r="T378" s="13"/>
      <c r="U378" s="13"/>
      <c r="V378" s="5">
        <v>0</v>
      </c>
      <c r="W378" s="22" t="str">
        <f>_xlfn.LET(
_xlpm.H,Table1[[#This Row],[Thời hạn mới nhất (Date)]],
_xlpm.S,Table1[[#This Row],[Snapshot]],
IF(
    ISNUMBER(_xlpm.H),
    INT(_xlpm.H)-INT(_xlpm.S),
    "Không giao thời hạn"
))</f>
        <v>Không giao thời hạn</v>
      </c>
      <c r="X378" s="4" t="s">
        <v>547</v>
      </c>
      <c r="Y378" s="5"/>
      <c r="Z378" s="5" t="s">
        <v>35</v>
      </c>
      <c r="AA378" s="5"/>
      <c r="AB378" s="4"/>
      <c r="AC378" s="6"/>
      <c r="AD378" s="6"/>
      <c r="AE378" s="4">
        <v>0</v>
      </c>
      <c r="AF378" s="26" t="str">
        <f>_xlfn.LET(
_xlpm.H,Table1[[#This Row],[Thời hạn mới nhất (Date)]],
_xlpm.D,Table1[[#This Row],[Dự kiến mới nhất (Date)]],
IF(
NOT(ISNUMBER(_xlpm.H)),"Không giao thời hạn",
IF(
NOT(ISNUMBER(_xlpm.D)),"Chưa có dự kiến",
_xlpm.D-_xlpm.H
)))</f>
        <v>Không giao thời hạn</v>
      </c>
    </row>
    <row r="379" spans="1:32" ht="58.3" x14ac:dyDescent="0.4">
      <c r="A379" s="44">
        <v>46282</v>
      </c>
      <c r="B379" s="4" t="s">
        <v>836</v>
      </c>
      <c r="C379" s="5" t="s">
        <v>688</v>
      </c>
      <c r="D379" s="5">
        <v>58</v>
      </c>
      <c r="E379" s="5" t="str">
        <f>_xlfn.TEXTJOIN("+",TRUE,Table1[[#This Row],[Snapshot]:[ID]])</f>
        <v>46282+DIR-D2D7687BEF09</v>
      </c>
      <c r="F379" s="5"/>
      <c r="G379" s="5" t="s">
        <v>1299</v>
      </c>
      <c r="H379" s="20" t="s">
        <v>1299</v>
      </c>
      <c r="I379" s="5" t="s">
        <v>828</v>
      </c>
      <c r="J379" s="4" t="s">
        <v>689</v>
      </c>
      <c r="K379" s="4" t="str" cm="1">
        <f t="array" ref="K37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02. Danh mục Dự án Công nghệ và Nguồn lực CNTT</v>
      </c>
      <c r="L379" s="4" t="s">
        <v>688</v>
      </c>
      <c r="M379" s="4" t="s">
        <v>838</v>
      </c>
      <c r="N379" s="4" t="s">
        <v>1696</v>
      </c>
      <c r="O379" s="4" t="s">
        <v>181</v>
      </c>
      <c r="P379" s="6">
        <v>46270</v>
      </c>
      <c r="Q379" s="6">
        <v>46270</v>
      </c>
      <c r="R379" s="5">
        <v>1</v>
      </c>
      <c r="S379" s="5" t="s">
        <v>294</v>
      </c>
      <c r="T379" s="13">
        <v>46276</v>
      </c>
      <c r="U379" s="13">
        <v>46276</v>
      </c>
      <c r="V379" s="5">
        <v>0</v>
      </c>
      <c r="W379" s="22">
        <f>_xlfn.LET(
_xlpm.H,Table1[[#This Row],[Thời hạn mới nhất (Date)]],
_xlpm.S,Table1[[#This Row],[Snapshot]],
IF(
    ISNUMBER(_xlpm.H),
    INT(_xlpm.H)-INT(_xlpm.S),
    "Không giao thời hạn"
))</f>
        <v>-6</v>
      </c>
      <c r="X379" s="4" t="s">
        <v>982</v>
      </c>
      <c r="Y379" s="5"/>
      <c r="Z379" s="5" t="s">
        <v>35</v>
      </c>
      <c r="AA379" s="5"/>
      <c r="AB379" s="4" t="s">
        <v>983</v>
      </c>
      <c r="AC379" s="6">
        <v>46276</v>
      </c>
      <c r="AD379" s="6">
        <v>46276</v>
      </c>
      <c r="AE379" s="4">
        <v>0</v>
      </c>
      <c r="AF379" s="26">
        <f>_xlfn.LET(
_xlpm.H,Table1[[#This Row],[Thời hạn mới nhất (Date)]],
_xlpm.D,Table1[[#This Row],[Dự kiến mới nhất (Date)]],
IF(
NOT(ISNUMBER(_xlpm.H)),"Không giao thời hạn",
IF(
NOT(ISNUMBER(_xlpm.D)),"Chưa có dự kiến",
_xlpm.D-_xlpm.H
)))</f>
        <v>0</v>
      </c>
    </row>
    <row r="380" spans="1:32" ht="58.3" x14ac:dyDescent="0.4">
      <c r="A380" s="44">
        <v>46275</v>
      </c>
      <c r="B380" s="4" t="s">
        <v>836</v>
      </c>
      <c r="C380" s="5" t="s">
        <v>688</v>
      </c>
      <c r="D380" s="5">
        <v>61</v>
      </c>
      <c r="E380" s="5" t="str">
        <f>_xlfn.TEXTJOIN("+",TRUE,Table1[[#This Row],[Snapshot]:[ID]])</f>
        <v>46275+DIR-D2D7687BEF09</v>
      </c>
      <c r="F380" s="5"/>
      <c r="G380" s="5" t="s">
        <v>1299</v>
      </c>
      <c r="H380" s="20" t="s">
        <v>1299</v>
      </c>
      <c r="I380" s="5" t="s">
        <v>837</v>
      </c>
      <c r="J380" s="4" t="s">
        <v>689</v>
      </c>
      <c r="K380" s="4" t="str" cm="1">
        <f t="array" ref="K38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02. Danh mục Dự án Công nghệ và Nguồn lực CNTT</v>
      </c>
      <c r="L380" s="4" t="s">
        <v>688</v>
      </c>
      <c r="M380" s="4" t="s">
        <v>838</v>
      </c>
      <c r="N380" s="4" t="s">
        <v>1696</v>
      </c>
      <c r="O380" s="4" t="s">
        <v>181</v>
      </c>
      <c r="P380" s="6">
        <v>46270</v>
      </c>
      <c r="Q380" s="6">
        <v>46270</v>
      </c>
      <c r="R380" s="5">
        <v>1</v>
      </c>
      <c r="S380" s="5" t="s">
        <v>294</v>
      </c>
      <c r="T380" s="13">
        <v>46276</v>
      </c>
      <c r="U380" s="13">
        <v>46276</v>
      </c>
      <c r="V380" s="5">
        <v>0</v>
      </c>
      <c r="W380" s="22">
        <f>_xlfn.LET(
_xlpm.H,Table1[[#This Row],[Thời hạn mới nhất (Date)]],
_xlpm.S,Table1[[#This Row],[Snapshot]],
IF(
    ISNUMBER(_xlpm.H),
    INT(_xlpm.H)-INT(_xlpm.S),
    "Không giao thời hạn"
))</f>
        <v>1</v>
      </c>
      <c r="X380" s="4" t="s">
        <v>839</v>
      </c>
      <c r="Y380" s="5"/>
      <c r="Z380" s="5" t="s">
        <v>194</v>
      </c>
      <c r="AA380" s="5"/>
      <c r="AB380" s="4" t="s">
        <v>840</v>
      </c>
      <c r="AC380" s="6">
        <v>46276</v>
      </c>
      <c r="AD380" s="6">
        <v>46276</v>
      </c>
      <c r="AE380" s="4">
        <v>0</v>
      </c>
      <c r="AF380" s="26">
        <f>_xlfn.LET(
_xlpm.H,Table1[[#This Row],[Thời hạn mới nhất (Date)]],
_xlpm.D,Table1[[#This Row],[Dự kiến mới nhất (Date)]],
IF(
NOT(ISNUMBER(_xlpm.H)),"Không giao thời hạn",
IF(
NOT(ISNUMBER(_xlpm.D)),"Chưa có dự kiến",
_xlpm.D-_xlpm.H
)))</f>
        <v>0</v>
      </c>
    </row>
    <row r="381" spans="1:32" ht="102" x14ac:dyDescent="0.4">
      <c r="A381" s="44">
        <v>46282</v>
      </c>
      <c r="B381" s="4" t="s">
        <v>786</v>
      </c>
      <c r="C381" s="5" t="s">
        <v>688</v>
      </c>
      <c r="D381" s="5">
        <v>46</v>
      </c>
      <c r="E381" s="5" t="str">
        <f>_xlfn.TEXTJOIN("+",TRUE,Table1[[#This Row],[Snapshot]:[ID]])</f>
        <v>46282+DIR-D60191C10668</v>
      </c>
      <c r="F381" s="5"/>
      <c r="G381" s="5" t="s">
        <v>1410</v>
      </c>
      <c r="H381" s="20" t="s">
        <v>1411</v>
      </c>
      <c r="I381" s="5" t="s">
        <v>783</v>
      </c>
      <c r="J381" s="4" t="s">
        <v>689</v>
      </c>
      <c r="K381" s="4" t="str" cm="1">
        <f t="array" ref="K38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381" s="4" t="s">
        <v>688</v>
      </c>
      <c r="M381" s="4" t="s">
        <v>361</v>
      </c>
      <c r="N381" s="4" t="s">
        <v>1696</v>
      </c>
      <c r="O381" s="4" t="s">
        <v>275</v>
      </c>
      <c r="P381" s="6">
        <v>46256</v>
      </c>
      <c r="Q381" s="6">
        <v>46256</v>
      </c>
      <c r="R381" s="5">
        <v>1</v>
      </c>
      <c r="S381" s="5"/>
      <c r="T381" s="13"/>
      <c r="U381" s="13"/>
      <c r="V381" s="5">
        <v>0</v>
      </c>
      <c r="W381" s="22" t="str">
        <f>_xlfn.LET(
_xlpm.H,Table1[[#This Row],[Thời hạn mới nhất (Date)]],
_xlpm.S,Table1[[#This Row],[Snapshot]],
IF(
    ISNUMBER(_xlpm.H),
    INT(_xlpm.H)-INT(_xlpm.S),
    "Không giao thời hạn"
))</f>
        <v>Không giao thời hạn</v>
      </c>
      <c r="X381" s="4" t="s">
        <v>976</v>
      </c>
      <c r="Y381" s="5"/>
      <c r="Z381" s="5" t="s">
        <v>35</v>
      </c>
      <c r="AA381" s="5"/>
      <c r="AB381" s="4"/>
      <c r="AC381" s="6"/>
      <c r="AD381" s="6"/>
      <c r="AE381" s="4">
        <v>0</v>
      </c>
      <c r="AF381" s="26" t="str">
        <f>_xlfn.LET(
_xlpm.H,Table1[[#This Row],[Thời hạn mới nhất (Date)]],
_xlpm.D,Table1[[#This Row],[Dự kiến mới nhất (Date)]],
IF(
NOT(ISNUMBER(_xlpm.H)),"Không giao thời hạn",
IF(
NOT(ISNUMBER(_xlpm.D)),"Chưa có dự kiến",
_xlpm.D-_xlpm.H
)))</f>
        <v>Không giao thời hạn</v>
      </c>
    </row>
    <row r="382" spans="1:32" ht="102" x14ac:dyDescent="0.4">
      <c r="A382" s="44">
        <v>46275</v>
      </c>
      <c r="B382" s="4" t="s">
        <v>786</v>
      </c>
      <c r="C382" s="5" t="s">
        <v>688</v>
      </c>
      <c r="D382" s="5">
        <v>47</v>
      </c>
      <c r="E382" s="5" t="str">
        <f>_xlfn.TEXTJOIN("+",TRUE,Table1[[#This Row],[Snapshot]:[ID]])</f>
        <v>46275+DIR-D60191C10668</v>
      </c>
      <c r="F382" s="5"/>
      <c r="G382" s="5" t="s">
        <v>1412</v>
      </c>
      <c r="H382" s="20" t="s">
        <v>1413</v>
      </c>
      <c r="I382" s="5" t="s">
        <v>787</v>
      </c>
      <c r="J382" s="4" t="s">
        <v>689</v>
      </c>
      <c r="K382" s="4" t="str" cm="1">
        <f t="array" ref="K38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32. Chăm sóc Khách hàng và Chương trình Quà tặng</v>
      </c>
      <c r="L382" s="4" t="s">
        <v>688</v>
      </c>
      <c r="M382" s="4" t="s">
        <v>361</v>
      </c>
      <c r="N382" s="4" t="s">
        <v>1696</v>
      </c>
      <c r="O382" s="4" t="s">
        <v>275</v>
      </c>
      <c r="P382" s="6">
        <v>46256</v>
      </c>
      <c r="Q382" s="6">
        <v>46256</v>
      </c>
      <c r="R382" s="5">
        <v>1</v>
      </c>
      <c r="S382" s="5"/>
      <c r="T382" s="13"/>
      <c r="U382" s="13"/>
      <c r="V382" s="5">
        <v>0</v>
      </c>
      <c r="W382" s="22" t="str">
        <f>_xlfn.LET(
_xlpm.H,Table1[[#This Row],[Thời hạn mới nhất (Date)]],
_xlpm.S,Table1[[#This Row],[Snapshot]],
IF(
    ISNUMBER(_xlpm.H),
    INT(_xlpm.H)-INT(_xlpm.S),
    "Không giao thời hạn"
))</f>
        <v>Không giao thời hạn</v>
      </c>
      <c r="X382" s="4" t="s">
        <v>788</v>
      </c>
      <c r="Y382" s="5"/>
      <c r="Z382" s="5" t="s">
        <v>35</v>
      </c>
      <c r="AA382" s="5"/>
      <c r="AB382" s="4"/>
      <c r="AC382" s="6"/>
      <c r="AD382" s="6"/>
      <c r="AE382" s="4">
        <v>0</v>
      </c>
      <c r="AF382" s="26" t="str">
        <f>_xlfn.LET(
_xlpm.H,Table1[[#This Row],[Thời hạn mới nhất (Date)]],
_xlpm.D,Table1[[#This Row],[Dự kiến mới nhất (Date)]],
IF(
NOT(ISNUMBER(_xlpm.H)),"Không giao thời hạn",
IF(
NOT(ISNUMBER(_xlpm.D)),"Chưa có dự kiến",
_xlpm.D-_xlpm.H
)))</f>
        <v>Không giao thời hạn</v>
      </c>
    </row>
    <row r="383" spans="1:32" ht="174.9" x14ac:dyDescent="0.4">
      <c r="A383" s="44">
        <v>46282</v>
      </c>
      <c r="B383" s="4" t="s">
        <v>531</v>
      </c>
      <c r="C383" s="5" t="s">
        <v>532</v>
      </c>
      <c r="D383" s="5">
        <v>13</v>
      </c>
      <c r="E383" s="5" t="str">
        <f>_xlfn.TEXTJOIN("+",TRUE,Table1[[#This Row],[Snapshot]:[ID]])</f>
        <v>46282+DIR-D68F5E41AD36</v>
      </c>
      <c r="F383" s="5"/>
      <c r="G383" s="20" t="s">
        <v>1210</v>
      </c>
      <c r="H383" s="20" t="s">
        <v>1211</v>
      </c>
      <c r="I383" s="5" t="s">
        <v>45</v>
      </c>
      <c r="J383" s="4" t="s">
        <v>30</v>
      </c>
      <c r="K383" s="4" t="str" cm="1">
        <f t="array" ref="K38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383" s="4" t="s">
        <v>532</v>
      </c>
      <c r="M383" s="4" t="s">
        <v>533</v>
      </c>
      <c r="N383" s="4" t="s">
        <v>1717</v>
      </c>
      <c r="O383" s="4" t="s">
        <v>534</v>
      </c>
      <c r="P383" s="6">
        <v>46097</v>
      </c>
      <c r="Q383" s="6">
        <v>46200</v>
      </c>
      <c r="R383" s="5">
        <v>4</v>
      </c>
      <c r="S383" s="5" t="s">
        <v>535</v>
      </c>
      <c r="T383" s="13">
        <v>46203</v>
      </c>
      <c r="U383" s="13">
        <v>46203</v>
      </c>
      <c r="V383" s="5">
        <v>0</v>
      </c>
      <c r="W383" s="22">
        <f>_xlfn.LET(
_xlpm.H,Table1[[#This Row],[Thời hạn mới nhất (Date)]],
_xlpm.S,Table1[[#This Row],[Snapshot]],
IF(
    ISNUMBER(_xlpm.H),
    INT(_xlpm.H)-INT(_xlpm.S),
    "Không giao thời hạn"
))</f>
        <v>-79</v>
      </c>
      <c r="X383" s="4" t="s">
        <v>536</v>
      </c>
      <c r="Y383" s="5"/>
      <c r="Z383" s="5"/>
      <c r="AA383" s="5" t="s">
        <v>35</v>
      </c>
      <c r="AB383" s="4" t="s">
        <v>82</v>
      </c>
      <c r="AC383" s="6">
        <v>46265</v>
      </c>
      <c r="AD383" s="6">
        <v>46265</v>
      </c>
      <c r="AE383" s="4">
        <v>0</v>
      </c>
      <c r="AF383" s="26">
        <f>_xlfn.LET(
_xlpm.H,Table1[[#This Row],[Thời hạn mới nhất (Date)]],
_xlpm.D,Table1[[#This Row],[Dự kiến mới nhất (Date)]],
IF(
NOT(ISNUMBER(_xlpm.H)),"Không giao thời hạn",
IF(
NOT(ISNUMBER(_xlpm.D)),"Chưa có dự kiến",
_xlpm.D-_xlpm.H
)))</f>
        <v>62</v>
      </c>
    </row>
    <row r="384" spans="1:32" ht="174.9" x14ac:dyDescent="0.4">
      <c r="A384" s="44">
        <v>46275</v>
      </c>
      <c r="B384" s="4" t="s">
        <v>531</v>
      </c>
      <c r="C384" s="5" t="s">
        <v>532</v>
      </c>
      <c r="D384" s="5">
        <v>13</v>
      </c>
      <c r="E384" s="5" t="str">
        <f>_xlfn.TEXTJOIN("+",TRUE,Table1[[#This Row],[Snapshot]:[ID]])</f>
        <v>46275+DIR-D68F5E41AD36</v>
      </c>
      <c r="F384" s="5"/>
      <c r="G384" s="20" t="s">
        <v>1212</v>
      </c>
      <c r="H384" s="20" t="s">
        <v>1213</v>
      </c>
      <c r="I384" s="5" t="s">
        <v>45</v>
      </c>
      <c r="J384" s="4" t="s">
        <v>30</v>
      </c>
      <c r="K384" s="4" t="str" cm="1">
        <f t="array" ref="K38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09. Kinh doanh Vốn, Thanh khoản và Trạng thái Vàng</v>
      </c>
      <c r="L384" s="4" t="s">
        <v>532</v>
      </c>
      <c r="M384" s="4" t="s">
        <v>533</v>
      </c>
      <c r="N384" s="4" t="s">
        <v>1717</v>
      </c>
      <c r="O384" s="4" t="s">
        <v>534</v>
      </c>
      <c r="P384" s="6">
        <v>46097</v>
      </c>
      <c r="Q384" s="6">
        <v>46200</v>
      </c>
      <c r="R384" s="5">
        <v>4</v>
      </c>
      <c r="S384" s="5" t="s">
        <v>535</v>
      </c>
      <c r="T384" s="13">
        <v>46203</v>
      </c>
      <c r="U384" s="13">
        <v>46203</v>
      </c>
      <c r="V384" s="5">
        <v>0</v>
      </c>
      <c r="W384" s="22">
        <f>_xlfn.LET(
_xlpm.H,Table1[[#This Row],[Thời hạn mới nhất (Date)]],
_xlpm.S,Table1[[#This Row],[Snapshot]],
IF(
    ISNUMBER(_xlpm.H),
    INT(_xlpm.H)-INT(_xlpm.S),
    "Không giao thời hạn"
))</f>
        <v>-72</v>
      </c>
      <c r="X384" s="4" t="s">
        <v>536</v>
      </c>
      <c r="Y384" s="5"/>
      <c r="Z384" s="5"/>
      <c r="AA384" s="5" t="s">
        <v>35</v>
      </c>
      <c r="AB384" s="4" t="s">
        <v>82</v>
      </c>
      <c r="AC384" s="6">
        <v>46265</v>
      </c>
      <c r="AD384" s="6">
        <v>46265</v>
      </c>
      <c r="AE384" s="4">
        <v>0</v>
      </c>
      <c r="AF384" s="26">
        <f>_xlfn.LET(
_xlpm.H,Table1[[#This Row],[Thời hạn mới nhất (Date)]],
_xlpm.D,Table1[[#This Row],[Dự kiến mới nhất (Date)]],
IF(
NOT(ISNUMBER(_xlpm.H)),"Không giao thời hạn",
IF(
NOT(ISNUMBER(_xlpm.D)),"Chưa có dự kiến",
_xlpm.D-_xlpm.H
)))</f>
        <v>62</v>
      </c>
    </row>
    <row r="385" spans="1:32" ht="116.6" x14ac:dyDescent="0.4">
      <c r="A385" s="44">
        <v>46282</v>
      </c>
      <c r="B385" s="4" t="s">
        <v>553</v>
      </c>
      <c r="C385" s="5" t="s">
        <v>532</v>
      </c>
      <c r="D385" s="5">
        <v>18</v>
      </c>
      <c r="E385" s="5" t="str">
        <f>_xlfn.TEXTJOIN("+",TRUE,Table1[[#This Row],[Snapshot]:[ID]])</f>
        <v>46282+DIR-DA3FD7A76589</v>
      </c>
      <c r="F385" s="5"/>
      <c r="G385" s="5" t="s">
        <v>2035</v>
      </c>
      <c r="H385" s="20" t="s">
        <v>2036</v>
      </c>
      <c r="I385" s="5" t="s">
        <v>75</v>
      </c>
      <c r="J385" s="4" t="s">
        <v>30</v>
      </c>
      <c r="K385" s="4" t="str" cm="1">
        <f t="array" ref="K38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11. Ngân sách, Chi phí và Thẩm quyền Tài chính</v>
      </c>
      <c r="L385" s="4" t="s">
        <v>532</v>
      </c>
      <c r="M385" s="4" t="s">
        <v>554</v>
      </c>
      <c r="N385" s="4" t="s">
        <v>1717</v>
      </c>
      <c r="O385" s="4" t="s">
        <v>143</v>
      </c>
      <c r="P385" s="6">
        <v>46186</v>
      </c>
      <c r="Q385" s="6">
        <v>46186</v>
      </c>
      <c r="R385" s="5">
        <v>1</v>
      </c>
      <c r="S385" s="5" t="s">
        <v>550</v>
      </c>
      <c r="T385" s="13">
        <v>46192</v>
      </c>
      <c r="U385" s="13">
        <v>46192</v>
      </c>
      <c r="V385" s="5">
        <v>0</v>
      </c>
      <c r="W385" s="22">
        <f>_xlfn.LET(
_xlpm.H,Table1[[#This Row],[Thời hạn mới nhất (Date)]],
_xlpm.S,Table1[[#This Row],[Snapshot]],
IF(
    ISNUMBER(_xlpm.H),
    INT(_xlpm.H)-INT(_xlpm.S),
    "Không giao thời hạn"
))</f>
        <v>-90</v>
      </c>
      <c r="X385" s="4" t="s">
        <v>547</v>
      </c>
      <c r="Y385" s="5"/>
      <c r="Z385" s="5" t="s">
        <v>35</v>
      </c>
      <c r="AA385" s="5"/>
      <c r="AB385" s="4"/>
      <c r="AC385" s="6"/>
      <c r="AD385" s="6"/>
      <c r="AE385" s="4">
        <v>0</v>
      </c>
      <c r="AF385" s="26" t="str">
        <f>_xlfn.LET(
_xlpm.H,Table1[[#This Row],[Thời hạn mới nhất (Date)]],
_xlpm.D,Table1[[#This Row],[Dự kiến mới nhất (Date)]],
IF(
NOT(ISNUMBER(_xlpm.H)),"Không giao thời hạn",
IF(
NOT(ISNUMBER(_xlpm.D)),"Chưa có dự kiến",
_xlpm.D-_xlpm.H
)))</f>
        <v>Chưa có dự kiến</v>
      </c>
    </row>
    <row r="386" spans="1:32" ht="160.30000000000001" x14ac:dyDescent="0.4">
      <c r="A386" s="44">
        <v>46275</v>
      </c>
      <c r="B386" s="4" t="s">
        <v>553</v>
      </c>
      <c r="C386" s="5" t="s">
        <v>532</v>
      </c>
      <c r="D386" s="5">
        <v>18</v>
      </c>
      <c r="E386" s="5" t="str">
        <f>_xlfn.TEXTJOIN("+",TRUE,Table1[[#This Row],[Snapshot]:[ID]])</f>
        <v>46275+DIR-DA3FD7A76589</v>
      </c>
      <c r="F386" s="5"/>
      <c r="G386" s="5" t="s">
        <v>2037</v>
      </c>
      <c r="H386" s="20" t="s">
        <v>2038</v>
      </c>
      <c r="I386" s="5" t="s">
        <v>75</v>
      </c>
      <c r="J386" s="4" t="s">
        <v>30</v>
      </c>
      <c r="K386" s="4" t="str" cm="1">
        <f t="array" ref="K38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11. Ngân sách, Chi phí và Thẩm quyền Tài chính</v>
      </c>
      <c r="L386" s="4" t="s">
        <v>532</v>
      </c>
      <c r="M386" s="4" t="s">
        <v>554</v>
      </c>
      <c r="N386" s="4" t="s">
        <v>1717</v>
      </c>
      <c r="O386" s="4" t="s">
        <v>143</v>
      </c>
      <c r="P386" s="6">
        <v>46186</v>
      </c>
      <c r="Q386" s="6">
        <v>46186</v>
      </c>
      <c r="R386" s="5">
        <v>1</v>
      </c>
      <c r="S386" s="5" t="s">
        <v>550</v>
      </c>
      <c r="T386" s="13">
        <v>46192</v>
      </c>
      <c r="U386" s="13">
        <v>46192</v>
      </c>
      <c r="V386" s="5">
        <v>0</v>
      </c>
      <c r="W386" s="22">
        <f>_xlfn.LET(
_xlpm.H,Table1[[#This Row],[Thời hạn mới nhất (Date)]],
_xlpm.S,Table1[[#This Row],[Snapshot]],
IF(
    ISNUMBER(_xlpm.H),
    INT(_xlpm.H)-INT(_xlpm.S),
    "Không giao thời hạn"
))</f>
        <v>-83</v>
      </c>
      <c r="X386" s="4" t="s">
        <v>547</v>
      </c>
      <c r="Y386" s="5"/>
      <c r="Z386" s="5" t="s">
        <v>35</v>
      </c>
      <c r="AA386" s="5"/>
      <c r="AB386" s="4"/>
      <c r="AC386" s="6"/>
      <c r="AD386" s="6"/>
      <c r="AE386" s="4">
        <v>0</v>
      </c>
      <c r="AF386" s="26" t="str">
        <f>_xlfn.LET(
_xlpm.H,Table1[[#This Row],[Thời hạn mới nhất (Date)]],
_xlpm.D,Table1[[#This Row],[Dự kiến mới nhất (Date)]],
IF(
NOT(ISNUMBER(_xlpm.H)),"Không giao thời hạn",
IF(
NOT(ISNUMBER(_xlpm.D)),"Chưa có dự kiến",
_xlpm.D-_xlpm.H
)))</f>
        <v>Chưa có dự kiến</v>
      </c>
    </row>
    <row r="387" spans="1:32" ht="145.75" x14ac:dyDescent="0.4">
      <c r="A387" s="44">
        <v>46282</v>
      </c>
      <c r="B387" s="4" t="s">
        <v>402</v>
      </c>
      <c r="C387" s="5" t="s">
        <v>352</v>
      </c>
      <c r="D387" s="5">
        <v>25</v>
      </c>
      <c r="E387" s="5" t="str">
        <f>_xlfn.TEXTJOIN("+",TRUE,Table1[[#This Row],[Snapshot]:[ID]])</f>
        <v>46282+DIR-DBC202DB1B75</v>
      </c>
      <c r="F387" s="5"/>
      <c r="G387" s="5" t="s">
        <v>2039</v>
      </c>
      <c r="H387" s="20" t="s">
        <v>2040</v>
      </c>
      <c r="I387" s="5" t="s">
        <v>106</v>
      </c>
      <c r="J387" s="4" t="s">
        <v>30</v>
      </c>
      <c r="K387" s="4" t="str" cm="1">
        <f t="array" ref="K38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387" s="4" t="s">
        <v>352</v>
      </c>
      <c r="M387" s="4" t="s">
        <v>403</v>
      </c>
      <c r="N387" s="4" t="s">
        <v>1702</v>
      </c>
      <c r="O387" s="4" t="s">
        <v>127</v>
      </c>
      <c r="P387" s="6">
        <v>46160</v>
      </c>
      <c r="Q387" s="6">
        <v>46160</v>
      </c>
      <c r="R387" s="5">
        <v>1</v>
      </c>
      <c r="S387" s="5"/>
      <c r="T387" s="13"/>
      <c r="U387" s="13"/>
      <c r="V387" s="5">
        <v>0</v>
      </c>
      <c r="W387" s="22" t="str">
        <f>_xlfn.LET(
_xlpm.H,Table1[[#This Row],[Thời hạn mới nhất (Date)]],
_xlpm.S,Table1[[#This Row],[Snapshot]],
IF(
    ISNUMBER(_xlpm.H),
    INT(_xlpm.H)-INT(_xlpm.S),
    "Không giao thời hạn"
))</f>
        <v>Không giao thời hạn</v>
      </c>
      <c r="X387" s="4" t="s">
        <v>933</v>
      </c>
      <c r="Y387" s="5"/>
      <c r="Z387" s="5" t="s">
        <v>35</v>
      </c>
      <c r="AA387" s="5"/>
      <c r="AB387" s="4"/>
      <c r="AC387" s="6"/>
      <c r="AD387" s="6"/>
      <c r="AE387" s="4">
        <v>0</v>
      </c>
      <c r="AF387" s="26" t="str">
        <f>_xlfn.LET(
_xlpm.H,Table1[[#This Row],[Thời hạn mới nhất (Date)]],
_xlpm.D,Table1[[#This Row],[Dự kiến mới nhất (Date)]],
IF(
NOT(ISNUMBER(_xlpm.H)),"Không giao thời hạn",
IF(
NOT(ISNUMBER(_xlpm.D)),"Chưa có dự kiến",
_xlpm.D-_xlpm.H
)))</f>
        <v>Không giao thời hạn</v>
      </c>
    </row>
    <row r="388" spans="1:32" ht="145.75" x14ac:dyDescent="0.4">
      <c r="A388" s="44">
        <v>46275</v>
      </c>
      <c r="B388" s="4" t="s">
        <v>402</v>
      </c>
      <c r="C388" s="5" t="s">
        <v>352</v>
      </c>
      <c r="D388" s="5">
        <v>26</v>
      </c>
      <c r="E388" s="5" t="str">
        <f>_xlfn.TEXTJOIN("+",TRUE,Table1[[#This Row],[Snapshot]:[ID]])</f>
        <v>46275+DIR-DBC202DB1B75</v>
      </c>
      <c r="F388" s="5"/>
      <c r="G388" s="5" t="s">
        <v>2041</v>
      </c>
      <c r="H388" s="20" t="s">
        <v>2042</v>
      </c>
      <c r="I388" s="5" t="s">
        <v>111</v>
      </c>
      <c r="J388" s="4" t="s">
        <v>30</v>
      </c>
      <c r="K388" s="4" t="str" cm="1">
        <f t="array" ref="K38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388" s="4" t="s">
        <v>352</v>
      </c>
      <c r="M388" s="4" t="s">
        <v>403</v>
      </c>
      <c r="N388" s="4" t="s">
        <v>1702</v>
      </c>
      <c r="O388" s="4" t="s">
        <v>127</v>
      </c>
      <c r="P388" s="6">
        <v>46160</v>
      </c>
      <c r="Q388" s="6">
        <v>46160</v>
      </c>
      <c r="R388" s="5">
        <v>1</v>
      </c>
      <c r="S388" s="5"/>
      <c r="T388" s="13"/>
      <c r="U388" s="13"/>
      <c r="V388" s="5">
        <v>0</v>
      </c>
      <c r="W388" s="22" t="str">
        <f>_xlfn.LET(
_xlpm.H,Table1[[#This Row],[Thời hạn mới nhất (Date)]],
_xlpm.S,Table1[[#This Row],[Snapshot]],
IF(
    ISNUMBER(_xlpm.H),
    INT(_xlpm.H)-INT(_xlpm.S),
    "Không giao thời hạn"
))</f>
        <v>Không giao thời hạn</v>
      </c>
      <c r="X388" s="4" t="s">
        <v>404</v>
      </c>
      <c r="Y388" s="5"/>
      <c r="Z388" s="5" t="s">
        <v>35</v>
      </c>
      <c r="AA388" s="5"/>
      <c r="AB388" s="4"/>
      <c r="AC388" s="6"/>
      <c r="AD388" s="6"/>
      <c r="AE388" s="4">
        <v>0</v>
      </c>
      <c r="AF388" s="26" t="str">
        <f>_xlfn.LET(
_xlpm.H,Table1[[#This Row],[Thời hạn mới nhất (Date)]],
_xlpm.D,Table1[[#This Row],[Dự kiến mới nhất (Date)]],
IF(
NOT(ISNUMBER(_xlpm.H)),"Không giao thời hạn",
IF(
NOT(ISNUMBER(_xlpm.D)),"Chưa có dự kiến",
_xlpm.D-_xlpm.H
)))</f>
        <v>Không giao thời hạn</v>
      </c>
    </row>
    <row r="389" spans="1:32" ht="145.75" x14ac:dyDescent="0.4">
      <c r="A389" s="44">
        <v>46282</v>
      </c>
      <c r="B389" s="4" t="s">
        <v>714</v>
      </c>
      <c r="C389" s="5" t="s">
        <v>688</v>
      </c>
      <c r="D389" s="5">
        <v>25</v>
      </c>
      <c r="E389" s="5" t="str">
        <f>_xlfn.TEXTJOIN("+",TRUE,Table1[[#This Row],[Snapshot]:[ID]])</f>
        <v>46282+DIR-DC55AC6D4697</v>
      </c>
      <c r="F389" s="5"/>
      <c r="G389" s="5" t="s">
        <v>2043</v>
      </c>
      <c r="H389" s="20" t="s">
        <v>2044</v>
      </c>
      <c r="I389" s="5" t="s">
        <v>85</v>
      </c>
      <c r="J389" s="4" t="s">
        <v>689</v>
      </c>
      <c r="K389" s="4" t="str" cm="1">
        <f t="array" ref="K38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389" s="4" t="s">
        <v>688</v>
      </c>
      <c r="M389" s="4" t="s">
        <v>715</v>
      </c>
      <c r="N389" s="4" t="s">
        <v>1696</v>
      </c>
      <c r="O389" s="4" t="s">
        <v>160</v>
      </c>
      <c r="P389" s="6">
        <v>46214</v>
      </c>
      <c r="Q389" s="6">
        <v>46214</v>
      </c>
      <c r="R389" s="5">
        <v>1</v>
      </c>
      <c r="S389" s="5" t="s">
        <v>155</v>
      </c>
      <c r="T389" s="13">
        <v>46218</v>
      </c>
      <c r="U389" s="13">
        <v>46218</v>
      </c>
      <c r="V389" s="5">
        <v>0</v>
      </c>
      <c r="W389" s="22">
        <f>_xlfn.LET(
_xlpm.H,Table1[[#This Row],[Thời hạn mới nhất (Date)]],
_xlpm.S,Table1[[#This Row],[Snapshot]],
IF(
    ISNUMBER(_xlpm.H),
    INT(_xlpm.H)-INT(_xlpm.S),
    "Không giao thời hạn"
))</f>
        <v>-64</v>
      </c>
      <c r="X389" s="4" t="s">
        <v>966</v>
      </c>
      <c r="Y389" s="5"/>
      <c r="Z389" s="5" t="s">
        <v>35</v>
      </c>
      <c r="AA389" s="5"/>
      <c r="AB389" s="4" t="s">
        <v>717</v>
      </c>
      <c r="AC389" s="6">
        <v>46295</v>
      </c>
      <c r="AD389" s="6">
        <v>46295</v>
      </c>
      <c r="AE389" s="4">
        <v>0</v>
      </c>
      <c r="AF389" s="26">
        <f>_xlfn.LET(
_xlpm.H,Table1[[#This Row],[Thời hạn mới nhất (Date)]],
_xlpm.D,Table1[[#This Row],[Dự kiến mới nhất (Date)]],
IF(
NOT(ISNUMBER(_xlpm.H)),"Không giao thời hạn",
IF(
NOT(ISNUMBER(_xlpm.D)),"Chưa có dự kiến",
_xlpm.D-_xlpm.H
)))</f>
        <v>77</v>
      </c>
    </row>
    <row r="390" spans="1:32" ht="145.75" x14ac:dyDescent="0.4">
      <c r="A390" s="44">
        <v>46275</v>
      </c>
      <c r="B390" s="4" t="s">
        <v>714</v>
      </c>
      <c r="C390" s="5" t="s">
        <v>688</v>
      </c>
      <c r="D390" s="5">
        <v>25</v>
      </c>
      <c r="E390" s="5" t="str">
        <f>_xlfn.TEXTJOIN("+",TRUE,Table1[[#This Row],[Snapshot]:[ID]])</f>
        <v>46275+DIR-DC55AC6D4697</v>
      </c>
      <c r="F390" s="5"/>
      <c r="G390" s="5" t="s">
        <v>2045</v>
      </c>
      <c r="H390" s="20" t="s">
        <v>2046</v>
      </c>
      <c r="I390" s="5" t="s">
        <v>85</v>
      </c>
      <c r="J390" s="4" t="s">
        <v>689</v>
      </c>
      <c r="K390" s="4" t="str" cm="1">
        <f t="array" ref="K39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390" s="4" t="s">
        <v>688</v>
      </c>
      <c r="M390" s="4" t="s">
        <v>715</v>
      </c>
      <c r="N390" s="4" t="s">
        <v>1696</v>
      </c>
      <c r="O390" s="4" t="s">
        <v>160</v>
      </c>
      <c r="P390" s="6">
        <v>46214</v>
      </c>
      <c r="Q390" s="6">
        <v>46214</v>
      </c>
      <c r="R390" s="5">
        <v>1</v>
      </c>
      <c r="S390" s="5" t="s">
        <v>155</v>
      </c>
      <c r="T390" s="13">
        <v>46218</v>
      </c>
      <c r="U390" s="13">
        <v>46218</v>
      </c>
      <c r="V390" s="5">
        <v>0</v>
      </c>
      <c r="W390" s="22">
        <f>_xlfn.LET(
_xlpm.H,Table1[[#This Row],[Thời hạn mới nhất (Date)]],
_xlpm.S,Table1[[#This Row],[Snapshot]],
IF(
    ISNUMBER(_xlpm.H),
    INT(_xlpm.H)-INT(_xlpm.S),
    "Không giao thời hạn"
))</f>
        <v>-57</v>
      </c>
      <c r="X390" s="4" t="s">
        <v>716</v>
      </c>
      <c r="Y390" s="5"/>
      <c r="Z390" s="5" t="s">
        <v>35</v>
      </c>
      <c r="AA390" s="5"/>
      <c r="AB390" s="4" t="s">
        <v>717</v>
      </c>
      <c r="AC390" s="6">
        <v>46295</v>
      </c>
      <c r="AD390" s="6">
        <v>46295</v>
      </c>
      <c r="AE390" s="4">
        <v>0</v>
      </c>
      <c r="AF390" s="26">
        <f>_xlfn.LET(
_xlpm.H,Table1[[#This Row],[Thời hạn mới nhất (Date)]],
_xlpm.D,Table1[[#This Row],[Dự kiến mới nhất (Date)]],
IF(
NOT(ISNUMBER(_xlpm.H)),"Không giao thời hạn",
IF(
NOT(ISNUMBER(_xlpm.D)),"Chưa có dự kiến",
_xlpm.D-_xlpm.H
)))</f>
        <v>77</v>
      </c>
    </row>
    <row r="391" spans="1:32" ht="145.75" x14ac:dyDescent="0.4">
      <c r="A391" s="44">
        <v>46282</v>
      </c>
      <c r="B391" s="4" t="s">
        <v>392</v>
      </c>
      <c r="C391" s="5" t="s">
        <v>352</v>
      </c>
      <c r="D391" s="5">
        <v>23</v>
      </c>
      <c r="E391" s="5" t="str">
        <f>_xlfn.TEXTJOIN("+",TRUE,Table1[[#This Row],[Snapshot]:[ID]])</f>
        <v>46282+DIR-DD50A0DDEB29</v>
      </c>
      <c r="F391" s="5"/>
      <c r="G391" s="20" t="s">
        <v>1274</v>
      </c>
      <c r="H391" s="20" t="s">
        <v>1275</v>
      </c>
      <c r="I391" s="5" t="s">
        <v>97</v>
      </c>
      <c r="J391" s="4" t="s">
        <v>30</v>
      </c>
      <c r="K391" s="4" t="str" cm="1">
        <f t="array" ref="K39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391" s="4" t="s">
        <v>352</v>
      </c>
      <c r="M391" s="4" t="s">
        <v>393</v>
      </c>
      <c r="N391" s="4" t="s">
        <v>1702</v>
      </c>
      <c r="O391" s="4" t="s">
        <v>394</v>
      </c>
      <c r="P391" s="6">
        <v>46125</v>
      </c>
      <c r="Q391" s="6">
        <v>46125</v>
      </c>
      <c r="R391" s="5">
        <v>1</v>
      </c>
      <c r="S391" s="5" t="s">
        <v>395</v>
      </c>
      <c r="T391" s="13">
        <v>46142</v>
      </c>
      <c r="U391" s="13">
        <v>46142</v>
      </c>
      <c r="V391" s="5">
        <v>0</v>
      </c>
      <c r="W391" s="22">
        <f>_xlfn.LET(
_xlpm.H,Table1[[#This Row],[Thời hạn mới nhất (Date)]],
_xlpm.S,Table1[[#This Row],[Snapshot]],
IF(
    ISNUMBER(_xlpm.H),
    INT(_xlpm.H)-INT(_xlpm.S),
    "Không giao thời hạn"
))</f>
        <v>-140</v>
      </c>
      <c r="X391" s="4" t="s">
        <v>396</v>
      </c>
      <c r="Y391" s="5"/>
      <c r="Z391" s="5" t="s">
        <v>35</v>
      </c>
      <c r="AA391" s="5"/>
      <c r="AB391" s="4" t="s">
        <v>397</v>
      </c>
      <c r="AC391" s="6"/>
      <c r="AD391" s="6"/>
      <c r="AE391" s="4">
        <v>0</v>
      </c>
      <c r="AF391" s="26" t="str">
        <f>_xlfn.LET(
_xlpm.H,Table1[[#This Row],[Thời hạn mới nhất (Date)]],
_xlpm.D,Table1[[#This Row],[Dự kiến mới nhất (Date)]],
IF(
NOT(ISNUMBER(_xlpm.H)),"Không giao thời hạn",
IF(
NOT(ISNUMBER(_xlpm.D)),"Chưa có dự kiến",
_xlpm.D-_xlpm.H
)))</f>
        <v>Chưa có dự kiến</v>
      </c>
    </row>
    <row r="392" spans="1:32" ht="116.6" x14ac:dyDescent="0.4">
      <c r="A392" s="44">
        <v>46275</v>
      </c>
      <c r="B392" s="4" t="s">
        <v>392</v>
      </c>
      <c r="C392" s="5" t="s">
        <v>352</v>
      </c>
      <c r="D392" s="5">
        <v>24</v>
      </c>
      <c r="E392" s="5" t="str">
        <f>_xlfn.TEXTJOIN("+",TRUE,Table1[[#This Row],[Snapshot]:[ID]])</f>
        <v>46275+DIR-DD50A0DDEB29</v>
      </c>
      <c r="F392" s="5"/>
      <c r="G392" s="20" t="s">
        <v>1276</v>
      </c>
      <c r="H392" s="20" t="s">
        <v>1277</v>
      </c>
      <c r="I392" s="5" t="s">
        <v>101</v>
      </c>
      <c r="J392" s="4" t="s">
        <v>30</v>
      </c>
      <c r="K392" s="4" t="str" cm="1">
        <f t="array" ref="K39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14. Hệ thống Văn bản và Quy trình Nội bộ</v>
      </c>
      <c r="L392" s="4" t="s">
        <v>352</v>
      </c>
      <c r="M392" s="4" t="s">
        <v>393</v>
      </c>
      <c r="N392" s="4" t="s">
        <v>1702</v>
      </c>
      <c r="O392" s="4" t="s">
        <v>394</v>
      </c>
      <c r="P392" s="6">
        <v>46125</v>
      </c>
      <c r="Q392" s="6">
        <v>46125</v>
      </c>
      <c r="R392" s="5">
        <v>1</v>
      </c>
      <c r="S392" s="5" t="s">
        <v>395</v>
      </c>
      <c r="T392" s="13">
        <v>46142</v>
      </c>
      <c r="U392" s="13">
        <v>46142</v>
      </c>
      <c r="V392" s="5">
        <v>0</v>
      </c>
      <c r="W392" s="22">
        <f>_xlfn.LET(
_xlpm.H,Table1[[#This Row],[Thời hạn mới nhất (Date)]],
_xlpm.S,Table1[[#This Row],[Snapshot]],
IF(
    ISNUMBER(_xlpm.H),
    INT(_xlpm.H)-INT(_xlpm.S),
    "Không giao thời hạn"
))</f>
        <v>-133</v>
      </c>
      <c r="X392" s="4" t="s">
        <v>396</v>
      </c>
      <c r="Y392" s="5"/>
      <c r="Z392" s="5" t="s">
        <v>35</v>
      </c>
      <c r="AA392" s="5"/>
      <c r="AB392" s="4" t="s">
        <v>397</v>
      </c>
      <c r="AC392" s="6"/>
      <c r="AD392" s="6"/>
      <c r="AE392" s="4">
        <v>0</v>
      </c>
      <c r="AF392" s="26" t="str">
        <f>_xlfn.LET(
_xlpm.H,Table1[[#This Row],[Thời hạn mới nhất (Date)]],
_xlpm.D,Table1[[#This Row],[Dự kiến mới nhất (Date)]],
IF(
NOT(ISNUMBER(_xlpm.H)),"Không giao thời hạn",
IF(
NOT(ISNUMBER(_xlpm.D)),"Chưa có dự kiến",
_xlpm.D-_xlpm.H
)))</f>
        <v>Chưa có dự kiến</v>
      </c>
    </row>
    <row r="393" spans="1:32" ht="160.30000000000001" x14ac:dyDescent="0.4">
      <c r="A393" s="44">
        <v>46282</v>
      </c>
      <c r="B393" s="4" t="s">
        <v>978</v>
      </c>
      <c r="C393" s="5" t="s">
        <v>688</v>
      </c>
      <c r="D393" s="5">
        <v>52</v>
      </c>
      <c r="E393" s="5" t="str">
        <f>_xlfn.TEXTJOIN("+",TRUE,Table1[[#This Row],[Snapshot]:[ID]])</f>
        <v>46282+DIR-DD551850C97C</v>
      </c>
      <c r="F393" s="5"/>
      <c r="G393" s="5" t="s">
        <v>2047</v>
      </c>
      <c r="H393" s="20" t="s">
        <v>2048</v>
      </c>
      <c r="I393" s="5" t="s">
        <v>804</v>
      </c>
      <c r="J393" s="4" t="s">
        <v>689</v>
      </c>
      <c r="K393" s="4" t="str" cm="1">
        <f t="array" ref="K39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24. Hệ sinh thái Giáo dục và Tài chính Giáo dục</v>
      </c>
      <c r="L393" s="4" t="s">
        <v>688</v>
      </c>
      <c r="M393" s="4" t="s">
        <v>979</v>
      </c>
      <c r="N393" s="4" t="s">
        <v>1696</v>
      </c>
      <c r="O393" s="4" t="s">
        <v>181</v>
      </c>
      <c r="P393" s="6">
        <v>46270</v>
      </c>
      <c r="Q393" s="6">
        <v>46270</v>
      </c>
      <c r="R393" s="5">
        <v>1</v>
      </c>
      <c r="S393" s="5"/>
      <c r="T393" s="13"/>
      <c r="U393" s="13"/>
      <c r="V393" s="5">
        <v>0</v>
      </c>
      <c r="W393" s="22" t="str">
        <f>_xlfn.LET(
_xlpm.H,Table1[[#This Row],[Thời hạn mới nhất (Date)]],
_xlpm.S,Table1[[#This Row],[Snapshot]],
IF(
    ISNUMBER(_xlpm.H),
    INT(_xlpm.H)-INT(_xlpm.S),
    "Không giao thời hạn"
))</f>
        <v>Không giao thời hạn</v>
      </c>
      <c r="X393" s="4" t="s">
        <v>817</v>
      </c>
      <c r="Y393" s="5"/>
      <c r="Z393" s="5" t="s">
        <v>35</v>
      </c>
      <c r="AA393" s="5"/>
      <c r="AB393" s="4" t="s">
        <v>980</v>
      </c>
      <c r="AC393" s="6">
        <v>46356</v>
      </c>
      <c r="AD393" s="6">
        <v>46356</v>
      </c>
      <c r="AE393" s="4">
        <v>0</v>
      </c>
      <c r="AF393" s="26" t="str">
        <f>_xlfn.LET(
_xlpm.H,Table1[[#This Row],[Thời hạn mới nhất (Date)]],
_xlpm.D,Table1[[#This Row],[Dự kiến mới nhất (Date)]],
IF(
NOT(ISNUMBER(_xlpm.H)),"Không giao thời hạn",
IF(
NOT(ISNUMBER(_xlpm.D)),"Chưa có dự kiến",
_xlpm.D-_xlpm.H
)))</f>
        <v>Không giao thời hạn</v>
      </c>
    </row>
    <row r="394" spans="1:32" ht="218.6" x14ac:dyDescent="0.4">
      <c r="A394" s="44">
        <v>46282</v>
      </c>
      <c r="B394" s="4" t="s">
        <v>84</v>
      </c>
      <c r="C394" s="5" t="s">
        <v>44</v>
      </c>
      <c r="D394" s="5">
        <v>20</v>
      </c>
      <c r="E394" s="5" t="str">
        <f>_xlfn.TEXTJOIN("+",TRUE,Table1[[#This Row],[Snapshot]:[ID]])</f>
        <v>46282+DIR-DE7DD51EB9D6</v>
      </c>
      <c r="F394" s="5"/>
      <c r="G394" s="5" t="s">
        <v>1458</v>
      </c>
      <c r="H394" s="20" t="s">
        <v>1459</v>
      </c>
      <c r="I394" s="5" t="s">
        <v>85</v>
      </c>
      <c r="J394" s="4" t="s">
        <v>30</v>
      </c>
      <c r="K394" s="4" t="str" cm="1">
        <f t="array" ref="K39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394" s="4" t="s">
        <v>44</v>
      </c>
      <c r="M394" s="4" t="s">
        <v>86</v>
      </c>
      <c r="N394" s="4" t="s">
        <v>1703</v>
      </c>
      <c r="O394" s="4" t="s">
        <v>71</v>
      </c>
      <c r="P394" s="6">
        <v>46235</v>
      </c>
      <c r="Q394" s="6">
        <v>46235</v>
      </c>
      <c r="R394" s="5">
        <v>1</v>
      </c>
      <c r="S394" s="5" t="s">
        <v>77</v>
      </c>
      <c r="T394" s="13">
        <v>46295</v>
      </c>
      <c r="U394" s="13">
        <v>46295</v>
      </c>
      <c r="V394" s="5">
        <v>0</v>
      </c>
      <c r="W394" s="22">
        <f>_xlfn.LET(
_xlpm.H,Table1[[#This Row],[Thời hạn mới nhất (Date)]],
_xlpm.S,Table1[[#This Row],[Snapshot]],
IF(
    ISNUMBER(_xlpm.H),
    INT(_xlpm.H)-INT(_xlpm.S),
    "Không giao thời hạn"
))</f>
        <v>13</v>
      </c>
      <c r="X394" s="4" t="s">
        <v>87</v>
      </c>
      <c r="Y394" s="5"/>
      <c r="Z394" s="5" t="s">
        <v>35</v>
      </c>
      <c r="AA394" s="5"/>
      <c r="AB394" s="4"/>
      <c r="AC394" s="6"/>
      <c r="AD394" s="6"/>
      <c r="AE394" s="4">
        <v>0</v>
      </c>
      <c r="AF394" s="26" t="str">
        <f>_xlfn.LET(
_xlpm.H,Table1[[#This Row],[Thời hạn mới nhất (Date)]],
_xlpm.D,Table1[[#This Row],[Dự kiến mới nhất (Date)]],
IF(
NOT(ISNUMBER(_xlpm.H)),"Không giao thời hạn",
IF(
NOT(ISNUMBER(_xlpm.D)),"Chưa có dự kiến",
_xlpm.D-_xlpm.H
)))</f>
        <v>Chưa có dự kiến</v>
      </c>
    </row>
    <row r="395" spans="1:32" ht="218.6" x14ac:dyDescent="0.4">
      <c r="A395" s="44">
        <v>46275</v>
      </c>
      <c r="B395" s="4" t="s">
        <v>84</v>
      </c>
      <c r="C395" s="5" t="s">
        <v>44</v>
      </c>
      <c r="D395" s="5">
        <v>20</v>
      </c>
      <c r="E395" s="5" t="str">
        <f>_xlfn.TEXTJOIN("+",TRUE,Table1[[#This Row],[Snapshot]:[ID]])</f>
        <v>46275+DIR-DE7DD51EB9D6</v>
      </c>
      <c r="F395" s="5"/>
      <c r="G395" s="5" t="s">
        <v>1460</v>
      </c>
      <c r="H395" s="20" t="s">
        <v>1461</v>
      </c>
      <c r="I395" s="5" t="s">
        <v>85</v>
      </c>
      <c r="J395" s="4" t="s">
        <v>30</v>
      </c>
      <c r="K395" s="4" t="str" cm="1">
        <f t="array" ref="K39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395" s="4" t="s">
        <v>44</v>
      </c>
      <c r="M395" s="4" t="s">
        <v>86</v>
      </c>
      <c r="N395" s="4" t="s">
        <v>1703</v>
      </c>
      <c r="O395" s="4" t="s">
        <v>71</v>
      </c>
      <c r="P395" s="6">
        <v>46235</v>
      </c>
      <c r="Q395" s="6">
        <v>46235</v>
      </c>
      <c r="R395" s="5">
        <v>1</v>
      </c>
      <c r="S395" s="5" t="s">
        <v>77</v>
      </c>
      <c r="T395" s="13">
        <v>46295</v>
      </c>
      <c r="U395" s="13">
        <v>46295</v>
      </c>
      <c r="V395" s="5">
        <v>0</v>
      </c>
      <c r="W395" s="22">
        <f>_xlfn.LET(
_xlpm.H,Table1[[#This Row],[Thời hạn mới nhất (Date)]],
_xlpm.S,Table1[[#This Row],[Snapshot]],
IF(
    ISNUMBER(_xlpm.H),
    INT(_xlpm.H)-INT(_xlpm.S),
    "Không giao thời hạn"
))</f>
        <v>20</v>
      </c>
      <c r="X395" s="4" t="s">
        <v>87</v>
      </c>
      <c r="Y395" s="5"/>
      <c r="Z395" s="5" t="s">
        <v>35</v>
      </c>
      <c r="AA395" s="5"/>
      <c r="AB395" s="4"/>
      <c r="AC395" s="6"/>
      <c r="AD395" s="6"/>
      <c r="AE395" s="4">
        <v>0</v>
      </c>
      <c r="AF395" s="26" t="str">
        <f>_xlfn.LET(
_xlpm.H,Table1[[#This Row],[Thời hạn mới nhất (Date)]],
_xlpm.D,Table1[[#This Row],[Dự kiến mới nhất (Date)]],
IF(
NOT(ISNUMBER(_xlpm.H)),"Không giao thời hạn",
IF(
NOT(ISNUMBER(_xlpm.D)),"Chưa có dự kiến",
_xlpm.D-_xlpm.H
)))</f>
        <v>Chưa có dự kiến</v>
      </c>
    </row>
    <row r="396" spans="1:32" ht="145.75" x14ac:dyDescent="0.4">
      <c r="A396" s="44">
        <v>46282</v>
      </c>
      <c r="B396" s="4" t="s">
        <v>759</v>
      </c>
      <c r="C396" s="5" t="s">
        <v>688</v>
      </c>
      <c r="D396" s="5">
        <v>39</v>
      </c>
      <c r="E396" s="5" t="str">
        <f>_xlfn.TEXTJOIN("+",TRUE,Table1[[#This Row],[Snapshot]:[ID]])</f>
        <v>46282+DIR-DE9CDEF2F436</v>
      </c>
      <c r="F396" s="5"/>
      <c r="G396" s="5" t="s">
        <v>2049</v>
      </c>
      <c r="H396" s="20" t="s">
        <v>2050</v>
      </c>
      <c r="I396" s="5" t="s">
        <v>152</v>
      </c>
      <c r="J396" s="4" t="s">
        <v>689</v>
      </c>
      <c r="K396" s="4" t="str" cm="1">
        <f t="array" ref="K39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396" s="4" t="s">
        <v>688</v>
      </c>
      <c r="M396" s="4" t="s">
        <v>94</v>
      </c>
      <c r="N396" s="4" t="s">
        <v>1696</v>
      </c>
      <c r="O396" s="4" t="s">
        <v>71</v>
      </c>
      <c r="P396" s="6">
        <v>46235</v>
      </c>
      <c r="Q396" s="6">
        <v>46235</v>
      </c>
      <c r="R396" s="5">
        <v>1</v>
      </c>
      <c r="S396" s="5" t="s">
        <v>77</v>
      </c>
      <c r="T396" s="13">
        <v>46295</v>
      </c>
      <c r="U396" s="13">
        <v>46295</v>
      </c>
      <c r="V396" s="5">
        <v>0</v>
      </c>
      <c r="W396" s="22">
        <f>_xlfn.LET(
_xlpm.H,Table1[[#This Row],[Thời hạn mới nhất (Date)]],
_xlpm.S,Table1[[#This Row],[Snapshot]],
IF(
    ISNUMBER(_xlpm.H),
    INT(_xlpm.H)-INT(_xlpm.S),
    "Không giao thời hạn"
))</f>
        <v>13</v>
      </c>
      <c r="X396" s="4" t="s">
        <v>760</v>
      </c>
      <c r="Y396" s="5"/>
      <c r="Z396" s="5" t="s">
        <v>35</v>
      </c>
      <c r="AA396" s="5"/>
      <c r="AB396" s="4" t="s">
        <v>77</v>
      </c>
      <c r="AC396" s="6">
        <v>46295</v>
      </c>
      <c r="AD396" s="6">
        <v>46295</v>
      </c>
      <c r="AE396" s="4">
        <v>0</v>
      </c>
      <c r="AF396" s="26">
        <f>_xlfn.LET(
_xlpm.H,Table1[[#This Row],[Thời hạn mới nhất (Date)]],
_xlpm.D,Table1[[#This Row],[Dự kiến mới nhất (Date)]],
IF(
NOT(ISNUMBER(_xlpm.H)),"Không giao thời hạn",
IF(
NOT(ISNUMBER(_xlpm.D)),"Chưa có dự kiến",
_xlpm.D-_xlpm.H
)))</f>
        <v>0</v>
      </c>
    </row>
    <row r="397" spans="1:32" ht="204" x14ac:dyDescent="0.4">
      <c r="A397" s="44">
        <v>46275</v>
      </c>
      <c r="B397" s="4" t="s">
        <v>759</v>
      </c>
      <c r="C397" s="5" t="s">
        <v>688</v>
      </c>
      <c r="D397" s="5">
        <v>39</v>
      </c>
      <c r="E397" s="5" t="str">
        <f>_xlfn.TEXTJOIN("+",TRUE,Table1[[#This Row],[Snapshot]:[ID]])</f>
        <v>46275+DIR-DE9CDEF2F436</v>
      </c>
      <c r="F397" s="5"/>
      <c r="G397" s="5" t="s">
        <v>2051</v>
      </c>
      <c r="H397" s="20" t="s">
        <v>2052</v>
      </c>
      <c r="I397" s="5" t="s">
        <v>152</v>
      </c>
      <c r="J397" s="4" t="s">
        <v>689</v>
      </c>
      <c r="K397" s="4" t="str" cm="1">
        <f t="array" ref="K39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397" s="4" t="s">
        <v>688</v>
      </c>
      <c r="M397" s="4" t="s">
        <v>94</v>
      </c>
      <c r="N397" s="4" t="s">
        <v>1696</v>
      </c>
      <c r="O397" s="4" t="s">
        <v>71</v>
      </c>
      <c r="P397" s="6">
        <v>46235</v>
      </c>
      <c r="Q397" s="6">
        <v>46235</v>
      </c>
      <c r="R397" s="5">
        <v>1</v>
      </c>
      <c r="S397" s="5" t="s">
        <v>77</v>
      </c>
      <c r="T397" s="13">
        <v>46295</v>
      </c>
      <c r="U397" s="13">
        <v>46295</v>
      </c>
      <c r="V397" s="5">
        <v>0</v>
      </c>
      <c r="W397" s="22">
        <f>_xlfn.LET(
_xlpm.H,Table1[[#This Row],[Thời hạn mới nhất (Date)]],
_xlpm.S,Table1[[#This Row],[Snapshot]],
IF(
    ISNUMBER(_xlpm.H),
    INT(_xlpm.H)-INT(_xlpm.S),
    "Không giao thời hạn"
))</f>
        <v>20</v>
      </c>
      <c r="X397" s="4" t="s">
        <v>760</v>
      </c>
      <c r="Y397" s="5"/>
      <c r="Z397" s="5" t="s">
        <v>35</v>
      </c>
      <c r="AA397" s="5"/>
      <c r="AB397" s="4" t="s">
        <v>77</v>
      </c>
      <c r="AC397" s="6">
        <v>46295</v>
      </c>
      <c r="AD397" s="6">
        <v>46295</v>
      </c>
      <c r="AE397" s="4">
        <v>0</v>
      </c>
      <c r="AF397" s="26">
        <f>_xlfn.LET(
_xlpm.H,Table1[[#This Row],[Thời hạn mới nhất (Date)]],
_xlpm.D,Table1[[#This Row],[Dự kiến mới nhất (Date)]],
IF(
NOT(ISNUMBER(_xlpm.H)),"Không giao thời hạn",
IF(
NOT(ISNUMBER(_xlpm.D)),"Chưa có dự kiến",
_xlpm.D-_xlpm.H
)))</f>
        <v>0</v>
      </c>
    </row>
    <row r="398" spans="1:32" ht="174.9" x14ac:dyDescent="0.4">
      <c r="A398" s="44">
        <v>46282</v>
      </c>
      <c r="B398" s="4" t="s">
        <v>636</v>
      </c>
      <c r="C398" s="5" t="s">
        <v>607</v>
      </c>
      <c r="D398" s="5">
        <v>21</v>
      </c>
      <c r="E398" s="5" t="str">
        <f>_xlfn.TEXTJOIN("+",TRUE,Table1[[#This Row],[Snapshot]:[ID]])</f>
        <v>46282+DIR-E060C80FE6B5</v>
      </c>
      <c r="F398" s="5"/>
      <c r="G398" s="5" t="s">
        <v>1414</v>
      </c>
      <c r="H398" s="20" t="s">
        <v>1415</v>
      </c>
      <c r="I398" s="5" t="s">
        <v>89</v>
      </c>
      <c r="J398" s="4" t="s">
        <v>30</v>
      </c>
      <c r="K398" s="4" t="str" cm="1">
        <f t="array" ref="K39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398" s="4" t="s">
        <v>607</v>
      </c>
      <c r="M398" s="4" t="s">
        <v>637</v>
      </c>
      <c r="N398" s="4" t="s">
        <v>1700</v>
      </c>
      <c r="O398" s="4" t="s">
        <v>191</v>
      </c>
      <c r="P398" s="6">
        <v>46262</v>
      </c>
      <c r="Q398" s="6">
        <v>46262</v>
      </c>
      <c r="R398" s="5">
        <v>1</v>
      </c>
      <c r="S398" s="5"/>
      <c r="T398" s="13"/>
      <c r="U398" s="13"/>
      <c r="V398" s="5">
        <v>0</v>
      </c>
      <c r="W398" s="22" t="str">
        <f>_xlfn.LET(
_xlpm.H,Table1[[#This Row],[Thời hạn mới nhất (Date)]],
_xlpm.S,Table1[[#This Row],[Snapshot]],
IF(
    ISNUMBER(_xlpm.H),
    INT(_xlpm.H)-INT(_xlpm.S),
    "Không giao thời hạn"
))</f>
        <v>Không giao thời hạn</v>
      </c>
      <c r="X398" s="4" t="s">
        <v>638</v>
      </c>
      <c r="Y398" s="5"/>
      <c r="Z398" s="5" t="s">
        <v>35</v>
      </c>
      <c r="AA398" s="5"/>
      <c r="AB398" s="4"/>
      <c r="AC398" s="6"/>
      <c r="AD398" s="6"/>
      <c r="AE398" s="4">
        <v>0</v>
      </c>
      <c r="AF398" s="26" t="str">
        <f>_xlfn.LET(
_xlpm.H,Table1[[#This Row],[Thời hạn mới nhất (Date)]],
_xlpm.D,Table1[[#This Row],[Dự kiến mới nhất (Date)]],
IF(
NOT(ISNUMBER(_xlpm.H)),"Không giao thời hạn",
IF(
NOT(ISNUMBER(_xlpm.D)),"Chưa có dự kiến",
_xlpm.D-_xlpm.H
)))</f>
        <v>Không giao thời hạn</v>
      </c>
    </row>
    <row r="399" spans="1:32" ht="174.9" x14ac:dyDescent="0.4">
      <c r="A399" s="44">
        <v>46275</v>
      </c>
      <c r="B399" s="4" t="s">
        <v>636</v>
      </c>
      <c r="C399" s="5" t="s">
        <v>607</v>
      </c>
      <c r="D399" s="5">
        <v>21</v>
      </c>
      <c r="E399" s="5" t="str">
        <f>_xlfn.TEXTJOIN("+",TRUE,Table1[[#This Row],[Snapshot]:[ID]])</f>
        <v>46275+DIR-E060C80FE6B5</v>
      </c>
      <c r="F399" s="5"/>
      <c r="G399" s="5" t="s">
        <v>1414</v>
      </c>
      <c r="H399" s="20" t="s">
        <v>1415</v>
      </c>
      <c r="I399" s="5" t="s">
        <v>89</v>
      </c>
      <c r="J399" s="4" t="s">
        <v>30</v>
      </c>
      <c r="K399" s="4" t="str" cm="1">
        <f t="array" ref="K39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31. Thương hiệu và Truyền thông Marketing</v>
      </c>
      <c r="L399" s="4" t="s">
        <v>607</v>
      </c>
      <c r="M399" s="4" t="s">
        <v>637</v>
      </c>
      <c r="N399" s="4" t="s">
        <v>1700</v>
      </c>
      <c r="O399" s="4" t="s">
        <v>191</v>
      </c>
      <c r="P399" s="6">
        <v>46262</v>
      </c>
      <c r="Q399" s="6">
        <v>46262</v>
      </c>
      <c r="R399" s="5">
        <v>1</v>
      </c>
      <c r="S399" s="5"/>
      <c r="T399" s="13"/>
      <c r="U399" s="13"/>
      <c r="V399" s="5">
        <v>0</v>
      </c>
      <c r="W399" s="22" t="str">
        <f>_xlfn.LET(
_xlpm.H,Table1[[#This Row],[Thời hạn mới nhất (Date)]],
_xlpm.S,Table1[[#This Row],[Snapshot]],
IF(
    ISNUMBER(_xlpm.H),
    INT(_xlpm.H)-INT(_xlpm.S),
    "Không giao thời hạn"
))</f>
        <v>Không giao thời hạn</v>
      </c>
      <c r="X399" s="4" t="s">
        <v>638</v>
      </c>
      <c r="Y399" s="5"/>
      <c r="Z399" s="5" t="s">
        <v>35</v>
      </c>
      <c r="AA399" s="5"/>
      <c r="AB399" s="4"/>
      <c r="AC399" s="6"/>
      <c r="AD399" s="6"/>
      <c r="AE399" s="4">
        <v>0</v>
      </c>
      <c r="AF399" s="26" t="str">
        <f>_xlfn.LET(
_xlpm.H,Table1[[#This Row],[Thời hạn mới nhất (Date)]],
_xlpm.D,Table1[[#This Row],[Dự kiến mới nhất (Date)]],
IF(
NOT(ISNUMBER(_xlpm.H)),"Không giao thời hạn",
IF(
NOT(ISNUMBER(_xlpm.D)),"Chưa có dự kiến",
_xlpm.D-_xlpm.H
)))</f>
        <v>Không giao thời hạn</v>
      </c>
    </row>
    <row r="400" spans="1:32" ht="116.6" x14ac:dyDescent="0.4">
      <c r="A400" s="44">
        <v>46282</v>
      </c>
      <c r="B400" s="4" t="s">
        <v>252</v>
      </c>
      <c r="C400" s="5" t="s">
        <v>44</v>
      </c>
      <c r="D400" s="5">
        <v>58</v>
      </c>
      <c r="E400" s="5" t="str">
        <f>_xlfn.TEXTJOIN("+",TRUE,Table1[[#This Row],[Snapshot]:[ID]])</f>
        <v>46282+DIR-E19AA29BFE8C</v>
      </c>
      <c r="F400" s="5"/>
      <c r="G400" s="5" t="s">
        <v>1299</v>
      </c>
      <c r="H400" s="20" t="s">
        <v>1299</v>
      </c>
      <c r="I400" s="5" t="s">
        <v>63</v>
      </c>
      <c r="J400" s="4" t="s">
        <v>200</v>
      </c>
      <c r="K400" s="4" t="str" cm="1">
        <f t="array" ref="K40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05. Quản trị Dữ liệu và Tích hợp Dữ liệu</v>
      </c>
      <c r="L400" s="4" t="s">
        <v>44</v>
      </c>
      <c r="M400" s="4" t="s">
        <v>253</v>
      </c>
      <c r="N400" s="4" t="s">
        <v>1730</v>
      </c>
      <c r="O400" s="4" t="s">
        <v>254</v>
      </c>
      <c r="P400" s="6">
        <v>46020</v>
      </c>
      <c r="Q400" s="6">
        <v>46020</v>
      </c>
      <c r="R400" s="5">
        <v>1</v>
      </c>
      <c r="S400" s="5"/>
      <c r="T400" s="13"/>
      <c r="U400" s="13"/>
      <c r="V400" s="5">
        <v>0</v>
      </c>
      <c r="W400" s="22" t="str">
        <f>_xlfn.LET(
_xlpm.H,Table1[[#This Row],[Thời hạn mới nhất (Date)]],
_xlpm.S,Table1[[#This Row],[Snapshot]],
IF(
    ISNUMBER(_xlpm.H),
    INT(_xlpm.H)-INT(_xlpm.S),
    "Không giao thời hạn"
))</f>
        <v>Không giao thời hạn</v>
      </c>
      <c r="X400" s="4" t="s">
        <v>255</v>
      </c>
      <c r="Y400" s="5"/>
      <c r="Z400" s="5" t="s">
        <v>35</v>
      </c>
      <c r="AA400" s="5"/>
      <c r="AB400" s="4"/>
      <c r="AC400" s="6"/>
      <c r="AD400" s="6"/>
      <c r="AE400" s="4">
        <v>0</v>
      </c>
      <c r="AF400" s="26" t="str">
        <f>_xlfn.LET(
_xlpm.H,Table1[[#This Row],[Thời hạn mới nhất (Date)]],
_xlpm.D,Table1[[#This Row],[Dự kiến mới nhất (Date)]],
IF(
NOT(ISNUMBER(_xlpm.H)),"Không giao thời hạn",
IF(
NOT(ISNUMBER(_xlpm.D)),"Chưa có dự kiến",
_xlpm.D-_xlpm.H
)))</f>
        <v>Không giao thời hạn</v>
      </c>
    </row>
    <row r="401" spans="1:32" ht="116.6" x14ac:dyDescent="0.4">
      <c r="A401" s="44">
        <v>46275</v>
      </c>
      <c r="B401" s="4" t="s">
        <v>252</v>
      </c>
      <c r="C401" s="5" t="s">
        <v>44</v>
      </c>
      <c r="D401" s="5">
        <v>59</v>
      </c>
      <c r="E401" s="5" t="str">
        <f>_xlfn.TEXTJOIN("+",TRUE,Table1[[#This Row],[Snapshot]:[ID]])</f>
        <v>46275+DIR-E19AA29BFE8C</v>
      </c>
      <c r="F401" s="5"/>
      <c r="G401" s="5" t="s">
        <v>1299</v>
      </c>
      <c r="H401" s="20" t="s">
        <v>1299</v>
      </c>
      <c r="I401" s="5" t="s">
        <v>63</v>
      </c>
      <c r="J401" s="4" t="s">
        <v>200</v>
      </c>
      <c r="K401" s="4" t="str" cm="1">
        <f t="array" ref="K40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05. Quản trị Dữ liệu và Tích hợp Dữ liệu</v>
      </c>
      <c r="L401" s="4" t="s">
        <v>44</v>
      </c>
      <c r="M401" s="4" t="s">
        <v>253</v>
      </c>
      <c r="N401" s="4" t="s">
        <v>1730</v>
      </c>
      <c r="O401" s="4" t="s">
        <v>254</v>
      </c>
      <c r="P401" s="6">
        <v>46020</v>
      </c>
      <c r="Q401" s="6">
        <v>46020</v>
      </c>
      <c r="R401" s="5">
        <v>1</v>
      </c>
      <c r="S401" s="5"/>
      <c r="T401" s="13"/>
      <c r="U401" s="13"/>
      <c r="V401" s="5">
        <v>0</v>
      </c>
      <c r="W401" s="22" t="str">
        <f>_xlfn.LET(
_xlpm.H,Table1[[#This Row],[Thời hạn mới nhất (Date)]],
_xlpm.S,Table1[[#This Row],[Snapshot]],
IF(
    ISNUMBER(_xlpm.H),
    INT(_xlpm.H)-INT(_xlpm.S),
    "Không giao thời hạn"
))</f>
        <v>Không giao thời hạn</v>
      </c>
      <c r="X401" s="4" t="s">
        <v>255</v>
      </c>
      <c r="Y401" s="5"/>
      <c r="Z401" s="5" t="s">
        <v>35</v>
      </c>
      <c r="AA401" s="5"/>
      <c r="AB401" s="4"/>
      <c r="AC401" s="6"/>
      <c r="AD401" s="6"/>
      <c r="AE401" s="4">
        <v>0</v>
      </c>
      <c r="AF401" s="26" t="str">
        <f>_xlfn.LET(
_xlpm.H,Table1[[#This Row],[Thời hạn mới nhất (Date)]],
_xlpm.D,Table1[[#This Row],[Dự kiến mới nhất (Date)]],
IF(
NOT(ISNUMBER(_xlpm.H)),"Không giao thời hạn",
IF(
NOT(ISNUMBER(_xlpm.D)),"Chưa có dự kiến",
_xlpm.D-_xlpm.H
)))</f>
        <v>Không giao thời hạn</v>
      </c>
    </row>
    <row r="402" spans="1:32" ht="291.45" x14ac:dyDescent="0.4">
      <c r="A402" s="44">
        <v>46282</v>
      </c>
      <c r="B402" s="4" t="s">
        <v>296</v>
      </c>
      <c r="C402" s="5" t="s">
        <v>297</v>
      </c>
      <c r="D402" s="5">
        <v>13</v>
      </c>
      <c r="E402" s="5" t="str">
        <f>_xlfn.TEXTJOIN("+",TRUE,Table1[[#This Row],[Snapshot]:[ID]])</f>
        <v>46282+DIR-E38FE1F5AF1F</v>
      </c>
      <c r="F402" s="5"/>
      <c r="G402" s="20" t="s">
        <v>1214</v>
      </c>
      <c r="H402" s="20" t="s">
        <v>1215</v>
      </c>
      <c r="I402" s="5" t="s">
        <v>45</v>
      </c>
      <c r="J402" s="4" t="s">
        <v>30</v>
      </c>
      <c r="K402" s="4" t="str" cm="1">
        <f t="array" ref="K40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402" s="4" t="s">
        <v>297</v>
      </c>
      <c r="M402" s="4" t="s">
        <v>298</v>
      </c>
      <c r="N402" s="4" t="s">
        <v>1701</v>
      </c>
      <c r="O402" s="4" t="s">
        <v>299</v>
      </c>
      <c r="P402" s="6">
        <v>46095</v>
      </c>
      <c r="Q402" s="6">
        <v>46125</v>
      </c>
      <c r="R402" s="4">
        <v>3</v>
      </c>
      <c r="S402" s="5"/>
      <c r="T402" s="13"/>
      <c r="U402" s="13"/>
      <c r="V402" s="5">
        <v>0</v>
      </c>
      <c r="W402" s="22" t="str">
        <f>_xlfn.LET(
_xlpm.H,Table1[[#This Row],[Thời hạn mới nhất (Date)]],
_xlpm.S,Table1[[#This Row],[Snapshot]],
IF(
    ISNUMBER(_xlpm.H),
    INT(_xlpm.H)-INT(_xlpm.S),
    "Không giao thời hạn"
))</f>
        <v>Không giao thời hạn</v>
      </c>
      <c r="X402" s="4" t="s">
        <v>300</v>
      </c>
      <c r="Y402" s="5"/>
      <c r="Z402" s="5" t="s">
        <v>35</v>
      </c>
      <c r="AA402" s="5"/>
      <c r="AB402" s="4" t="s">
        <v>301</v>
      </c>
      <c r="AC402" s="6">
        <v>46295</v>
      </c>
      <c r="AD402" s="6">
        <v>46295</v>
      </c>
      <c r="AE402" s="4">
        <v>0</v>
      </c>
      <c r="AF402" s="26" t="str">
        <f>_xlfn.LET(
_xlpm.H,Table1[[#This Row],[Thời hạn mới nhất (Date)]],
_xlpm.D,Table1[[#This Row],[Dự kiến mới nhất (Date)]],
IF(
NOT(ISNUMBER(_xlpm.H)),"Không giao thời hạn",
IF(
NOT(ISNUMBER(_xlpm.D)),"Chưa có dự kiến",
_xlpm.D-_xlpm.H
)))</f>
        <v>Không giao thời hạn</v>
      </c>
    </row>
    <row r="403" spans="1:32" ht="291.45" x14ac:dyDescent="0.4">
      <c r="A403" s="44">
        <v>46275</v>
      </c>
      <c r="B403" s="4" t="s">
        <v>296</v>
      </c>
      <c r="C403" s="5" t="s">
        <v>297</v>
      </c>
      <c r="D403" s="5">
        <v>13</v>
      </c>
      <c r="E403" s="5" t="str">
        <f>_xlfn.TEXTJOIN("+",TRUE,Table1[[#This Row],[Snapshot]:[ID]])</f>
        <v>46275+DIR-E38FE1F5AF1F</v>
      </c>
      <c r="F403" s="5"/>
      <c r="G403" s="20" t="s">
        <v>1214</v>
      </c>
      <c r="H403" s="20" t="s">
        <v>1215</v>
      </c>
      <c r="I403" s="5" t="s">
        <v>45</v>
      </c>
      <c r="J403" s="4" t="s">
        <v>30</v>
      </c>
      <c r="K403" s="4" t="str" cm="1">
        <f t="array" ref="K40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16. Nhân sự, Tổ chức Bộ máy và Chính sách Thu nhập</v>
      </c>
      <c r="L403" s="4" t="s">
        <v>297</v>
      </c>
      <c r="M403" s="4" t="s">
        <v>298</v>
      </c>
      <c r="N403" s="4" t="s">
        <v>1701</v>
      </c>
      <c r="O403" s="4" t="s">
        <v>299</v>
      </c>
      <c r="P403" s="6">
        <v>46095</v>
      </c>
      <c r="Q403" s="6">
        <v>46125</v>
      </c>
      <c r="R403" s="4">
        <v>3</v>
      </c>
      <c r="S403" s="5"/>
      <c r="T403" s="13"/>
      <c r="U403" s="13"/>
      <c r="V403" s="5">
        <v>0</v>
      </c>
      <c r="W403" s="22" t="str">
        <f>_xlfn.LET(
_xlpm.H,Table1[[#This Row],[Thời hạn mới nhất (Date)]],
_xlpm.S,Table1[[#This Row],[Snapshot]],
IF(
    ISNUMBER(_xlpm.H),
    INT(_xlpm.H)-INT(_xlpm.S),
    "Không giao thời hạn"
))</f>
        <v>Không giao thời hạn</v>
      </c>
      <c r="X403" s="4" t="s">
        <v>300</v>
      </c>
      <c r="Y403" s="5"/>
      <c r="Z403" s="5" t="s">
        <v>35</v>
      </c>
      <c r="AA403" s="5"/>
      <c r="AB403" s="4" t="s">
        <v>301</v>
      </c>
      <c r="AC403" s="6">
        <v>46295</v>
      </c>
      <c r="AD403" s="6">
        <v>46295</v>
      </c>
      <c r="AE403" s="4">
        <v>0</v>
      </c>
      <c r="AF403" s="26" t="str">
        <f>_xlfn.LET(
_xlpm.H,Table1[[#This Row],[Thời hạn mới nhất (Date)]],
_xlpm.D,Table1[[#This Row],[Dự kiến mới nhất (Date)]],
IF(
NOT(ISNUMBER(_xlpm.H)),"Không giao thời hạn",
IF(
NOT(ISNUMBER(_xlpm.D)),"Chưa có dự kiến",
_xlpm.D-_xlpm.H
)))</f>
        <v>Không giao thời hạn</v>
      </c>
    </row>
    <row r="404" spans="1:32" ht="116.6" x14ac:dyDescent="0.4">
      <c r="A404" s="44">
        <v>46282</v>
      </c>
      <c r="B404" s="4" t="s">
        <v>988</v>
      </c>
      <c r="C404" s="5" t="s">
        <v>688</v>
      </c>
      <c r="D404" s="5">
        <v>61</v>
      </c>
      <c r="E404" s="5" t="str">
        <f>_xlfn.TEXTJOIN("+",TRUE,Table1[[#This Row],[Snapshot]:[ID]])</f>
        <v>46282+DIR-E6FB2220FA0B</v>
      </c>
      <c r="F404" s="5"/>
      <c r="G404" s="5" t="s">
        <v>1313</v>
      </c>
      <c r="H404" s="5" t="s">
        <v>1313</v>
      </c>
      <c r="I404" s="5" t="s">
        <v>837</v>
      </c>
      <c r="J404" s="4" t="s">
        <v>689</v>
      </c>
      <c r="K404" s="4" t="str" cm="1">
        <f t="array" ref="K40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404" s="4" t="s">
        <v>688</v>
      </c>
      <c r="M404" s="4" t="s">
        <v>905</v>
      </c>
      <c r="N404" s="4" t="s">
        <v>1715</v>
      </c>
      <c r="O404" s="4" t="s">
        <v>906</v>
      </c>
      <c r="P404" s="6">
        <v>46277</v>
      </c>
      <c r="Q404" s="6">
        <v>46277</v>
      </c>
      <c r="R404" s="5">
        <v>1</v>
      </c>
      <c r="S404" s="5" t="s">
        <v>907</v>
      </c>
      <c r="T404" s="13">
        <v>46285</v>
      </c>
      <c r="U404" s="13">
        <v>46285</v>
      </c>
      <c r="V404" s="5">
        <v>0</v>
      </c>
      <c r="W404" s="22">
        <f>_xlfn.LET(
_xlpm.H,Table1[[#This Row],[Thời hạn mới nhất (Date)]],
_xlpm.S,Table1[[#This Row],[Snapshot]],
IF(
    ISNUMBER(_xlpm.H),
    INT(_xlpm.H)-INT(_xlpm.S),
    "Không giao thời hạn"
))</f>
        <v>3</v>
      </c>
      <c r="X404" s="4" t="s">
        <v>989</v>
      </c>
      <c r="Y404" s="5"/>
      <c r="Z404" s="5" t="s">
        <v>194</v>
      </c>
      <c r="AA404" s="5"/>
      <c r="AB404" s="4"/>
      <c r="AC404" s="6"/>
      <c r="AD404" s="6"/>
      <c r="AE404" s="4">
        <v>0</v>
      </c>
      <c r="AF404" s="26" t="str">
        <f>_xlfn.LET(
_xlpm.H,Table1[[#This Row],[Thời hạn mới nhất (Date)]],
_xlpm.D,Table1[[#This Row],[Dự kiến mới nhất (Date)]],
IF(
NOT(ISNUMBER(_xlpm.H)),"Không giao thời hạn",
IF(
NOT(ISNUMBER(_xlpm.D)),"Chưa có dự kiến",
_xlpm.D-_xlpm.H
)))</f>
        <v>Chưa có dự kiến</v>
      </c>
    </row>
    <row r="405" spans="1:32" ht="58.3" x14ac:dyDescent="0.4">
      <c r="A405" s="44">
        <v>46275</v>
      </c>
      <c r="B405" s="4" t="s">
        <v>173</v>
      </c>
      <c r="C405" s="5" t="s">
        <v>44</v>
      </c>
      <c r="D405" s="5">
        <v>38</v>
      </c>
      <c r="E405" s="5" t="str">
        <f>_xlfn.TEXTJOIN("+",TRUE,Table1[[#This Row],[Snapshot]:[ID]])</f>
        <v>46275+DIR-E7167446A268</v>
      </c>
      <c r="F405" s="5"/>
      <c r="G405" s="5" t="s">
        <v>1299</v>
      </c>
      <c r="H405" s="20" t="s">
        <v>1299</v>
      </c>
      <c r="I405" s="5" t="s">
        <v>174</v>
      </c>
      <c r="J405" s="4" t="s">
        <v>30</v>
      </c>
      <c r="K405" s="4" t="str" cm="1">
        <f t="array" ref="K40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03. Kiến trúc Công nghệ, Hạ tầng và Tài sản Phần mềm</v>
      </c>
      <c r="L405" s="4" t="s">
        <v>44</v>
      </c>
      <c r="M405" s="4" t="s">
        <v>175</v>
      </c>
      <c r="N405" s="4" t="s">
        <v>1703</v>
      </c>
      <c r="O405" s="4" t="s">
        <v>32</v>
      </c>
      <c r="P405" s="13">
        <v>46242</v>
      </c>
      <c r="Q405" s="13">
        <v>46242</v>
      </c>
      <c r="R405" s="5">
        <v>1</v>
      </c>
      <c r="S405" s="5" t="s">
        <v>176</v>
      </c>
      <c r="T405" s="13">
        <v>46280</v>
      </c>
      <c r="U405" s="13">
        <v>46280</v>
      </c>
      <c r="V405" s="5">
        <v>0</v>
      </c>
      <c r="W405" s="22">
        <f>_xlfn.LET(
_xlpm.H,Table1[[#This Row],[Thời hạn mới nhất (Date)]],
_xlpm.S,Table1[[#This Row],[Snapshot]],
IF(
    ISNUMBER(_xlpm.H),
    INT(_xlpm.H)-INT(_xlpm.S),
    "Không giao thời hạn"
))</f>
        <v>5</v>
      </c>
      <c r="X405" s="4" t="s">
        <v>177</v>
      </c>
      <c r="Y405" s="5" t="s">
        <v>35</v>
      </c>
      <c r="Z405" s="5"/>
      <c r="AA405" s="5"/>
      <c r="AB405" s="4"/>
      <c r="AC405" s="6"/>
      <c r="AD405" s="6"/>
      <c r="AE405" s="4">
        <v>0</v>
      </c>
      <c r="AF405" s="26" t="str">
        <f>_xlfn.LET(
_xlpm.H,Table1[[#This Row],[Thời hạn mới nhất (Date)]],
_xlpm.D,Table1[[#This Row],[Dự kiến mới nhất (Date)]],
IF(
NOT(ISNUMBER(_xlpm.H)),"Không giao thời hạn",
IF(
NOT(ISNUMBER(_xlpm.D)),"Chưa có dự kiến",
_xlpm.D-_xlpm.H
)))</f>
        <v>Chưa có dự kiến</v>
      </c>
    </row>
    <row r="406" spans="1:32" ht="43.75" x14ac:dyDescent="0.4">
      <c r="A406" s="44">
        <v>46282</v>
      </c>
      <c r="B406" s="4" t="s">
        <v>1001</v>
      </c>
      <c r="C406" s="5" t="s">
        <v>888</v>
      </c>
      <c r="D406" s="5">
        <v>19</v>
      </c>
      <c r="E406" s="5" t="str">
        <f>_xlfn.TEXTJOIN("+",TRUE,Table1[[#This Row],[Snapshot]:[ID]])</f>
        <v>46282+DIR-E74CEB9001E7</v>
      </c>
      <c r="F406" s="5"/>
      <c r="G406" s="5" t="s">
        <v>1290</v>
      </c>
      <c r="H406" s="20" t="s">
        <v>1290</v>
      </c>
      <c r="I406" s="5" t="s">
        <v>80</v>
      </c>
      <c r="J406" s="4" t="s">
        <v>30</v>
      </c>
      <c r="K406" s="4" t="str" cm="1">
        <f t="array" ref="K40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406" s="4" t="s">
        <v>888</v>
      </c>
      <c r="M406" s="4" t="s">
        <v>938</v>
      </c>
      <c r="N406" s="4" t="s">
        <v>1726</v>
      </c>
      <c r="O406" s="4" t="s">
        <v>906</v>
      </c>
      <c r="P406" s="6">
        <v>46277</v>
      </c>
      <c r="Q406" s="6">
        <v>46277</v>
      </c>
      <c r="R406" s="5">
        <v>1</v>
      </c>
      <c r="S406" s="5"/>
      <c r="T406" s="13"/>
      <c r="U406" s="13"/>
      <c r="V406" s="5">
        <v>0</v>
      </c>
      <c r="W406" s="22" t="str">
        <f>_xlfn.LET(
_xlpm.H,Table1[[#This Row],[Thời hạn mới nhất (Date)]],
_xlpm.S,Table1[[#This Row],[Snapshot]],
IF(
    ISNUMBER(_xlpm.H),
    INT(_xlpm.H)-INT(_xlpm.S),
    "Không giao thời hạn"
))</f>
        <v>Không giao thời hạn</v>
      </c>
      <c r="X406" s="4"/>
      <c r="Y406" s="5"/>
      <c r="Z406" s="5"/>
      <c r="AA406" s="5"/>
      <c r="AB406" s="4"/>
      <c r="AC406" s="6"/>
      <c r="AD406" s="6"/>
      <c r="AE406" s="4">
        <v>0</v>
      </c>
      <c r="AF406" s="26" t="str">
        <f>_xlfn.LET(
_xlpm.H,Table1[[#This Row],[Thời hạn mới nhất (Date)]],
_xlpm.D,Table1[[#This Row],[Dự kiến mới nhất (Date)]],
IF(
NOT(ISNUMBER(_xlpm.H)),"Không giao thời hạn",
IF(
NOT(ISNUMBER(_xlpm.D)),"Chưa có dự kiến",
_xlpm.D-_xlpm.H
)))</f>
        <v>Không giao thời hạn</v>
      </c>
    </row>
    <row r="407" spans="1:32" ht="131.15" x14ac:dyDescent="0.4">
      <c r="A407" s="44">
        <v>46282</v>
      </c>
      <c r="B407" s="4" t="s">
        <v>993</v>
      </c>
      <c r="C407" s="5" t="s">
        <v>688</v>
      </c>
      <c r="D407" s="5">
        <v>63</v>
      </c>
      <c r="E407" s="5" t="str">
        <f>_xlfn.TEXTJOIN("+",TRUE,Table1[[#This Row],[Snapshot]:[ID]])</f>
        <v>46282+DIR-E8530D1D00BA</v>
      </c>
      <c r="F407" s="5"/>
      <c r="G407" s="5" t="s">
        <v>1295</v>
      </c>
      <c r="H407" s="20" t="s">
        <v>1296</v>
      </c>
      <c r="I407" s="5" t="s">
        <v>994</v>
      </c>
      <c r="J407" s="4" t="s">
        <v>689</v>
      </c>
      <c r="K407" s="4" t="str" cm="1">
        <f t="array" ref="K40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407" s="4" t="s">
        <v>688</v>
      </c>
      <c r="M407" s="4" t="s">
        <v>995</v>
      </c>
      <c r="N407" s="4" t="s">
        <v>1731</v>
      </c>
      <c r="O407" s="4" t="s">
        <v>906</v>
      </c>
      <c r="P407" s="6">
        <v>46277</v>
      </c>
      <c r="Q407" s="6">
        <v>46277</v>
      </c>
      <c r="R407" s="5">
        <v>1</v>
      </c>
      <c r="S407" s="5" t="s">
        <v>192</v>
      </c>
      <c r="T407" s="13">
        <v>46295</v>
      </c>
      <c r="U407" s="13">
        <v>46295</v>
      </c>
      <c r="V407" s="5">
        <v>0</v>
      </c>
      <c r="W407" s="22">
        <f>_xlfn.LET(
_xlpm.H,Table1[[#This Row],[Thời hạn mới nhất (Date)]],
_xlpm.S,Table1[[#This Row],[Snapshot]],
IF(
    ISNUMBER(_xlpm.H),
    INT(_xlpm.H)-INT(_xlpm.S),
    "Không giao thời hạn"
))</f>
        <v>13</v>
      </c>
      <c r="X407" s="4" t="s">
        <v>996</v>
      </c>
      <c r="Y407" s="5"/>
      <c r="Z407" s="5" t="s">
        <v>194</v>
      </c>
      <c r="AA407" s="5"/>
      <c r="AB407" s="4"/>
      <c r="AC407" s="6"/>
      <c r="AD407" s="6"/>
      <c r="AE407" s="4">
        <v>0</v>
      </c>
      <c r="AF407" s="26" t="str">
        <f>_xlfn.LET(
_xlpm.H,Table1[[#This Row],[Thời hạn mới nhất (Date)]],
_xlpm.D,Table1[[#This Row],[Dự kiến mới nhất (Date)]],
IF(
NOT(ISNUMBER(_xlpm.H)),"Không giao thời hạn",
IF(
NOT(ISNUMBER(_xlpm.D)),"Chưa có dự kiến",
_xlpm.D-_xlpm.H
)))</f>
        <v>Chưa có dự kiến</v>
      </c>
    </row>
    <row r="408" spans="1:32" ht="189.45" x14ac:dyDescent="0.4">
      <c r="A408" s="44">
        <v>46282</v>
      </c>
      <c r="B408" s="4" t="s">
        <v>766</v>
      </c>
      <c r="C408" s="5" t="s">
        <v>688</v>
      </c>
      <c r="D408" s="5">
        <v>41</v>
      </c>
      <c r="E408" s="5" t="str">
        <f>_xlfn.TEXTJOIN("+",TRUE,Table1[[#This Row],[Snapshot]:[ID]])</f>
        <v>46282+DIR-E897BEA38538</v>
      </c>
      <c r="F408" s="5"/>
      <c r="G408" s="5" t="s">
        <v>1314</v>
      </c>
      <c r="H408" s="20" t="s">
        <v>1315</v>
      </c>
      <c r="I408" s="5" t="s">
        <v>163</v>
      </c>
      <c r="J408" s="4" t="s">
        <v>689</v>
      </c>
      <c r="K408" s="4" t="str" cm="1">
        <f t="array" ref="K40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408" s="4" t="s">
        <v>688</v>
      </c>
      <c r="M408" s="4" t="s">
        <v>767</v>
      </c>
      <c r="N408" s="4" t="s">
        <v>1696</v>
      </c>
      <c r="O408" s="4" t="s">
        <v>32</v>
      </c>
      <c r="P408" s="6">
        <v>46242</v>
      </c>
      <c r="Q408" s="6">
        <v>46242</v>
      </c>
      <c r="R408" s="5">
        <v>1</v>
      </c>
      <c r="S408" s="5" t="s">
        <v>768</v>
      </c>
      <c r="T408" s="13">
        <v>46249</v>
      </c>
      <c r="U408" s="13">
        <v>46249</v>
      </c>
      <c r="V408" s="5">
        <v>0</v>
      </c>
      <c r="W408" s="22">
        <f>_xlfn.LET(
_xlpm.H,Table1[[#This Row],[Thời hạn mới nhất (Date)]],
_xlpm.S,Table1[[#This Row],[Snapshot]],
IF(
    ISNUMBER(_xlpm.H),
    INT(_xlpm.H)-INT(_xlpm.S),
    "Không giao thời hạn"
))</f>
        <v>-33</v>
      </c>
      <c r="X408" s="4" t="s">
        <v>769</v>
      </c>
      <c r="Y408" s="5"/>
      <c r="Z408" s="5" t="s">
        <v>35</v>
      </c>
      <c r="AA408" s="5"/>
      <c r="AB408" s="4"/>
      <c r="AC408" s="6"/>
      <c r="AD408" s="6"/>
      <c r="AE408" s="4">
        <v>0</v>
      </c>
      <c r="AF408" s="26" t="str">
        <f>_xlfn.LET(
_xlpm.H,Table1[[#This Row],[Thời hạn mới nhất (Date)]],
_xlpm.D,Table1[[#This Row],[Dự kiến mới nhất (Date)]],
IF(
NOT(ISNUMBER(_xlpm.H)),"Không giao thời hạn",
IF(
NOT(ISNUMBER(_xlpm.D)),"Chưa có dự kiến",
_xlpm.D-_xlpm.H
)))</f>
        <v>Chưa có dự kiến</v>
      </c>
    </row>
    <row r="409" spans="1:32" ht="145.75" x14ac:dyDescent="0.4">
      <c r="A409" s="44">
        <v>46275</v>
      </c>
      <c r="B409" s="4" t="s">
        <v>766</v>
      </c>
      <c r="C409" s="5" t="s">
        <v>688</v>
      </c>
      <c r="D409" s="5">
        <v>42</v>
      </c>
      <c r="E409" s="5" t="str">
        <f>_xlfn.TEXTJOIN("+",TRUE,Table1[[#This Row],[Snapshot]:[ID]])</f>
        <v>46275+DIR-E897BEA38538</v>
      </c>
      <c r="F409" s="5"/>
      <c r="G409" s="5" t="s">
        <v>1316</v>
      </c>
      <c r="H409" s="20" t="s">
        <v>1317</v>
      </c>
      <c r="I409" s="5" t="s">
        <v>168</v>
      </c>
      <c r="J409" s="4" t="s">
        <v>689</v>
      </c>
      <c r="K409" s="4" t="str" cm="1">
        <f t="array" ref="K40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409" s="4" t="s">
        <v>688</v>
      </c>
      <c r="M409" s="4" t="s">
        <v>767</v>
      </c>
      <c r="N409" s="4" t="s">
        <v>1696</v>
      </c>
      <c r="O409" s="4" t="s">
        <v>32</v>
      </c>
      <c r="P409" s="6">
        <v>46242</v>
      </c>
      <c r="Q409" s="6">
        <v>46242</v>
      </c>
      <c r="R409" s="5">
        <v>1</v>
      </c>
      <c r="S409" s="5" t="s">
        <v>768</v>
      </c>
      <c r="T409" s="13">
        <v>46249</v>
      </c>
      <c r="U409" s="13">
        <v>46249</v>
      </c>
      <c r="V409" s="5">
        <v>0</v>
      </c>
      <c r="W409" s="22">
        <f>_xlfn.LET(
_xlpm.H,Table1[[#This Row],[Thời hạn mới nhất (Date)]],
_xlpm.S,Table1[[#This Row],[Snapshot]],
IF(
    ISNUMBER(_xlpm.H),
    INT(_xlpm.H)-INT(_xlpm.S),
    "Không giao thời hạn"
))</f>
        <v>-26</v>
      </c>
      <c r="X409" s="4" t="s">
        <v>769</v>
      </c>
      <c r="Y409" s="5"/>
      <c r="Z409" s="5" t="s">
        <v>35</v>
      </c>
      <c r="AA409" s="5"/>
      <c r="AB409" s="4"/>
      <c r="AC409" s="6"/>
      <c r="AD409" s="6"/>
      <c r="AE409" s="4">
        <v>0</v>
      </c>
      <c r="AF409" s="26" t="str">
        <f>_xlfn.LET(
_xlpm.H,Table1[[#This Row],[Thời hạn mới nhất (Date)]],
_xlpm.D,Table1[[#This Row],[Dự kiến mới nhất (Date)]],
IF(
NOT(ISNUMBER(_xlpm.H)),"Không giao thời hạn",
IF(
NOT(ISNUMBER(_xlpm.D)),"Chưa có dự kiến",
_xlpm.D-_xlpm.H
)))</f>
        <v>Chưa có dự kiến</v>
      </c>
    </row>
    <row r="410" spans="1:32" ht="145.75" x14ac:dyDescent="0.4">
      <c r="A410" s="44">
        <v>46282</v>
      </c>
      <c r="B410" s="4" t="s">
        <v>119</v>
      </c>
      <c r="C410" s="5" t="s">
        <v>44</v>
      </c>
      <c r="D410" s="5">
        <v>27</v>
      </c>
      <c r="E410" s="5" t="str">
        <f>_xlfn.TEXTJOIN("+",TRUE,Table1[[#This Row],[Snapshot]:[ID]])</f>
        <v>46282+DIR-E95AC3FB82EE</v>
      </c>
      <c r="F410" s="5"/>
      <c r="G410" s="5" t="s">
        <v>1462</v>
      </c>
      <c r="H410" s="20" t="s">
        <v>1463</v>
      </c>
      <c r="I410" s="5" t="s">
        <v>115</v>
      </c>
      <c r="J410" s="4" t="s">
        <v>30</v>
      </c>
      <c r="K410" s="4" t="str" cm="1">
        <f t="array" ref="K41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410" s="4" t="s">
        <v>44</v>
      </c>
      <c r="M410" s="4" t="s">
        <v>121</v>
      </c>
      <c r="N410" s="4" t="s">
        <v>1703</v>
      </c>
      <c r="O410" s="4" t="s">
        <v>32</v>
      </c>
      <c r="P410" s="6">
        <v>46242</v>
      </c>
      <c r="Q410" s="6">
        <v>46242</v>
      </c>
      <c r="R410" s="5">
        <v>1</v>
      </c>
      <c r="S410" s="5" t="s">
        <v>122</v>
      </c>
      <c r="T410" s="13">
        <v>46295</v>
      </c>
      <c r="U410" s="13">
        <v>46295</v>
      </c>
      <c r="V410" s="5">
        <v>0</v>
      </c>
      <c r="W410" s="22">
        <f>_xlfn.LET(
_xlpm.H,Table1[[#This Row],[Thời hạn mới nhất (Date)]],
_xlpm.S,Table1[[#This Row],[Snapshot]],
IF(
    ISNUMBER(_xlpm.H),
    INT(_xlpm.H)-INT(_xlpm.S),
    "Không giao thời hạn"
))</f>
        <v>13</v>
      </c>
      <c r="X410" s="4" t="s">
        <v>123</v>
      </c>
      <c r="Y410" s="5"/>
      <c r="Z410" s="5" t="s">
        <v>35</v>
      </c>
      <c r="AA410" s="5"/>
      <c r="AB410" s="4"/>
      <c r="AC410" s="6"/>
      <c r="AD410" s="6"/>
      <c r="AE410" s="4">
        <v>0</v>
      </c>
      <c r="AF410" s="26" t="str">
        <f>_xlfn.LET(
_xlpm.H,Table1[[#This Row],[Thời hạn mới nhất (Date)]],
_xlpm.D,Table1[[#This Row],[Dự kiến mới nhất (Date)]],
IF(
NOT(ISNUMBER(_xlpm.H)),"Không giao thời hạn",
IF(
NOT(ISNUMBER(_xlpm.D)),"Chưa có dự kiến",
_xlpm.D-_xlpm.H
)))</f>
        <v>Chưa có dự kiến</v>
      </c>
    </row>
    <row r="411" spans="1:32" ht="102" x14ac:dyDescent="0.4">
      <c r="A411" s="44">
        <v>46275</v>
      </c>
      <c r="B411" s="4" t="s">
        <v>119</v>
      </c>
      <c r="C411" s="5" t="s">
        <v>44</v>
      </c>
      <c r="D411" s="5">
        <v>28</v>
      </c>
      <c r="E411" s="5" t="str">
        <f>_xlfn.TEXTJOIN("+",TRUE,Table1[[#This Row],[Snapshot]:[ID]])</f>
        <v>46275+DIR-E95AC3FB82EE</v>
      </c>
      <c r="F411" s="5"/>
      <c r="G411" s="5" t="s">
        <v>1464</v>
      </c>
      <c r="H411" s="20" t="s">
        <v>1465</v>
      </c>
      <c r="I411" s="5" t="s">
        <v>120</v>
      </c>
      <c r="J411" s="4" t="s">
        <v>30</v>
      </c>
      <c r="K411" s="4" t="str" cm="1">
        <f t="array" ref="K41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411" s="4" t="s">
        <v>44</v>
      </c>
      <c r="M411" s="4" t="s">
        <v>121</v>
      </c>
      <c r="N411" s="4" t="s">
        <v>1703</v>
      </c>
      <c r="O411" s="4" t="s">
        <v>32</v>
      </c>
      <c r="P411" s="6">
        <v>46242</v>
      </c>
      <c r="Q411" s="6">
        <v>46242</v>
      </c>
      <c r="R411" s="5">
        <v>1</v>
      </c>
      <c r="S411" s="5" t="s">
        <v>122</v>
      </c>
      <c r="T411" s="13">
        <v>46295</v>
      </c>
      <c r="U411" s="13">
        <v>46295</v>
      </c>
      <c r="V411" s="5">
        <v>0</v>
      </c>
      <c r="W411" s="22">
        <f>_xlfn.LET(
_xlpm.H,Table1[[#This Row],[Thời hạn mới nhất (Date)]],
_xlpm.S,Table1[[#This Row],[Snapshot]],
IF(
    ISNUMBER(_xlpm.H),
    INT(_xlpm.H)-INT(_xlpm.S),
    "Không giao thời hạn"
))</f>
        <v>20</v>
      </c>
      <c r="X411" s="4" t="s">
        <v>123</v>
      </c>
      <c r="Y411" s="5"/>
      <c r="Z411" s="5" t="s">
        <v>35</v>
      </c>
      <c r="AA411" s="5"/>
      <c r="AB411" s="4"/>
      <c r="AC411" s="6"/>
      <c r="AD411" s="6"/>
      <c r="AE411" s="4">
        <v>0</v>
      </c>
      <c r="AF411" s="26" t="str">
        <f>_xlfn.LET(
_xlpm.H,Table1[[#This Row],[Thời hạn mới nhất (Date)]],
_xlpm.D,Table1[[#This Row],[Dự kiến mới nhất (Date)]],
IF(
NOT(ISNUMBER(_xlpm.H)),"Không giao thời hạn",
IF(
NOT(ISNUMBER(_xlpm.D)),"Chưa có dự kiến",
_xlpm.D-_xlpm.H
)))</f>
        <v>Chưa có dự kiến</v>
      </c>
    </row>
    <row r="412" spans="1:32" ht="204" x14ac:dyDescent="0.4">
      <c r="A412" s="44">
        <v>46282</v>
      </c>
      <c r="B412" s="4" t="s">
        <v>749</v>
      </c>
      <c r="C412" s="5" t="s">
        <v>688</v>
      </c>
      <c r="D412" s="5">
        <v>35</v>
      </c>
      <c r="E412" s="5" t="str">
        <f>_xlfn.TEXTJOIN("+",TRUE,Table1[[#This Row],[Snapshot]:[ID]])</f>
        <v>46282+DIR-EA946DCE5957</v>
      </c>
      <c r="F412" s="5"/>
      <c r="G412" s="5" t="s">
        <v>1313</v>
      </c>
      <c r="H412" s="20" t="s">
        <v>1313</v>
      </c>
      <c r="I412" s="5" t="s">
        <v>130</v>
      </c>
      <c r="J412" s="4" t="s">
        <v>689</v>
      </c>
      <c r="K412" s="4" t="str" cm="1">
        <f t="array" ref="K41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412" s="4" t="s">
        <v>688</v>
      </c>
      <c r="M412" s="4" t="s">
        <v>76</v>
      </c>
      <c r="N412" s="4" t="s">
        <v>1696</v>
      </c>
      <c r="O412" s="4" t="s">
        <v>71</v>
      </c>
      <c r="P412" s="6">
        <v>46235</v>
      </c>
      <c r="Q412" s="6">
        <v>46235</v>
      </c>
      <c r="R412" s="5">
        <v>1</v>
      </c>
      <c r="S412" s="5" t="s">
        <v>77</v>
      </c>
      <c r="T412" s="13">
        <v>46295</v>
      </c>
      <c r="U412" s="13">
        <v>46295</v>
      </c>
      <c r="V412" s="5">
        <v>0</v>
      </c>
      <c r="W412" s="22">
        <f>_xlfn.LET(
_xlpm.H,Table1[[#This Row],[Thời hạn mới nhất (Date)]],
_xlpm.S,Table1[[#This Row],[Snapshot]],
IF(
    ISNUMBER(_xlpm.H),
    INT(_xlpm.H)-INT(_xlpm.S),
    "Không giao thời hạn"
))</f>
        <v>13</v>
      </c>
      <c r="X412" s="4" t="s">
        <v>750</v>
      </c>
      <c r="Y412" s="5"/>
      <c r="Z412" s="5" t="s">
        <v>35</v>
      </c>
      <c r="AA412" s="5"/>
      <c r="AB412" s="4"/>
      <c r="AC412" s="6"/>
      <c r="AD412" s="6"/>
      <c r="AE412" s="4">
        <v>0</v>
      </c>
      <c r="AF412" s="26" t="str">
        <f>_xlfn.LET(
_xlpm.H,Table1[[#This Row],[Thời hạn mới nhất (Date)]],
_xlpm.D,Table1[[#This Row],[Dự kiến mới nhất (Date)]],
IF(
NOT(ISNUMBER(_xlpm.H)),"Không giao thời hạn",
IF(
NOT(ISNUMBER(_xlpm.D)),"Chưa có dự kiến",
_xlpm.D-_xlpm.H
)))</f>
        <v>Chưa có dự kiến</v>
      </c>
    </row>
    <row r="413" spans="1:32" ht="204" x14ac:dyDescent="0.4">
      <c r="A413" s="44">
        <v>46275</v>
      </c>
      <c r="B413" s="4" t="s">
        <v>749</v>
      </c>
      <c r="C413" s="5" t="s">
        <v>688</v>
      </c>
      <c r="D413" s="5">
        <v>35</v>
      </c>
      <c r="E413" s="5" t="str">
        <f>_xlfn.TEXTJOIN("+",TRUE,Table1[[#This Row],[Snapshot]:[ID]])</f>
        <v>46275+DIR-EA946DCE5957</v>
      </c>
      <c r="F413" s="5"/>
      <c r="G413" s="5" t="s">
        <v>1313</v>
      </c>
      <c r="H413" s="20" t="s">
        <v>1313</v>
      </c>
      <c r="I413" s="5" t="s">
        <v>130</v>
      </c>
      <c r="J413" s="4" t="s">
        <v>689</v>
      </c>
      <c r="K413" s="4" t="str" cm="1">
        <f t="array" ref="K41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413" s="4" t="s">
        <v>688</v>
      </c>
      <c r="M413" s="4" t="s">
        <v>76</v>
      </c>
      <c r="N413" s="4" t="s">
        <v>1696</v>
      </c>
      <c r="O413" s="4" t="s">
        <v>71</v>
      </c>
      <c r="P413" s="6">
        <v>46235</v>
      </c>
      <c r="Q413" s="6">
        <v>46235</v>
      </c>
      <c r="R413" s="5">
        <v>1</v>
      </c>
      <c r="S413" s="5" t="s">
        <v>77</v>
      </c>
      <c r="T413" s="13">
        <v>46295</v>
      </c>
      <c r="U413" s="13">
        <v>46295</v>
      </c>
      <c r="V413" s="5">
        <v>0</v>
      </c>
      <c r="W413" s="22">
        <f>_xlfn.LET(
_xlpm.H,Table1[[#This Row],[Thời hạn mới nhất (Date)]],
_xlpm.S,Table1[[#This Row],[Snapshot]],
IF(
    ISNUMBER(_xlpm.H),
    INT(_xlpm.H)-INT(_xlpm.S),
    "Không giao thời hạn"
))</f>
        <v>20</v>
      </c>
      <c r="X413" s="4" t="s">
        <v>750</v>
      </c>
      <c r="Y413" s="5"/>
      <c r="Z413" s="5" t="s">
        <v>35</v>
      </c>
      <c r="AA413" s="5"/>
      <c r="AB413" s="4"/>
      <c r="AC413" s="6"/>
      <c r="AD413" s="6"/>
      <c r="AE413" s="4">
        <v>0</v>
      </c>
      <c r="AF413" s="26" t="str">
        <f>_xlfn.LET(
_xlpm.H,Table1[[#This Row],[Thời hạn mới nhất (Date)]],
_xlpm.D,Table1[[#This Row],[Dự kiến mới nhất (Date)]],
IF(
NOT(ISNUMBER(_xlpm.H)),"Không giao thời hạn",
IF(
NOT(ISNUMBER(_xlpm.D)),"Chưa có dự kiến",
_xlpm.D-_xlpm.H
)))</f>
        <v>Chưa có dự kiến</v>
      </c>
    </row>
    <row r="414" spans="1:32" ht="131.15" x14ac:dyDescent="0.4">
      <c r="A414" s="44">
        <v>46282</v>
      </c>
      <c r="B414" s="4" t="s">
        <v>27</v>
      </c>
      <c r="C414" s="5" t="s">
        <v>28</v>
      </c>
      <c r="D414" s="5">
        <v>13</v>
      </c>
      <c r="E414" s="5" t="str">
        <f>_xlfn.TEXTJOIN("+",TRUE,Table1[[#This Row],[Snapshot]:[ID]])</f>
        <v>46282+DIR-EE7A686AB02B</v>
      </c>
      <c r="F414" s="5"/>
      <c r="G414" s="5" t="s">
        <v>1505</v>
      </c>
      <c r="H414" s="20" t="s">
        <v>1506</v>
      </c>
      <c r="I414" s="5" t="s">
        <v>45</v>
      </c>
      <c r="J414" s="4" t="s">
        <v>30</v>
      </c>
      <c r="K414" s="4" t="str" cm="1">
        <f t="array" ref="K41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08. Xử lý Nợ, VAMC và Thu hồi Tài sản</v>
      </c>
      <c r="L414" s="4" t="s">
        <v>28</v>
      </c>
      <c r="M414" s="4" t="s">
        <v>31</v>
      </c>
      <c r="N414" s="4" t="s">
        <v>1725</v>
      </c>
      <c r="O414" s="4" t="s">
        <v>32</v>
      </c>
      <c r="P414" s="6">
        <v>46242</v>
      </c>
      <c r="Q414" s="6">
        <v>46242</v>
      </c>
      <c r="R414" s="5">
        <v>1</v>
      </c>
      <c r="S414" s="5" t="s">
        <v>33</v>
      </c>
      <c r="T414" s="13">
        <v>46265</v>
      </c>
      <c r="U414" s="13">
        <v>46265</v>
      </c>
      <c r="V414" s="5">
        <v>0</v>
      </c>
      <c r="W414" s="22">
        <f>_xlfn.LET(
_xlpm.H,Table1[[#This Row],[Thời hạn mới nhất (Date)]],
_xlpm.S,Table1[[#This Row],[Snapshot]],
IF(
    ISNUMBER(_xlpm.H),
    INT(_xlpm.H)-INT(_xlpm.S),
    "Không giao thời hạn"
))</f>
        <v>-17</v>
      </c>
      <c r="X414" s="4" t="s">
        <v>34</v>
      </c>
      <c r="Y414" s="5"/>
      <c r="Z414" s="5" t="s">
        <v>35</v>
      </c>
      <c r="AA414" s="5"/>
      <c r="AB414" s="4" t="s">
        <v>725</v>
      </c>
      <c r="AC414" s="6">
        <v>46295</v>
      </c>
      <c r="AD414" s="6">
        <v>46295</v>
      </c>
      <c r="AE414" s="4">
        <v>0</v>
      </c>
      <c r="AF414" s="26">
        <f>_xlfn.LET(
_xlpm.H,Table1[[#This Row],[Thời hạn mới nhất (Date)]],
_xlpm.D,Table1[[#This Row],[Dự kiến mới nhất (Date)]],
IF(
NOT(ISNUMBER(_xlpm.H)),"Không giao thời hạn",
IF(
NOT(ISNUMBER(_xlpm.D)),"Chưa có dự kiến",
_xlpm.D-_xlpm.H
)))</f>
        <v>30</v>
      </c>
    </row>
    <row r="415" spans="1:32" ht="102" x14ac:dyDescent="0.4">
      <c r="A415" s="44">
        <v>46275</v>
      </c>
      <c r="B415" s="4" t="s">
        <v>27</v>
      </c>
      <c r="C415" s="5" t="s">
        <v>28</v>
      </c>
      <c r="D415" s="5">
        <v>13</v>
      </c>
      <c r="E415" s="5" t="str">
        <f>_xlfn.TEXTJOIN("+",TRUE,Table1[[#This Row],[Snapshot]:[ID]])</f>
        <v>46275+DIR-EE7A686AB02B</v>
      </c>
      <c r="F415" s="5"/>
      <c r="G415" s="5" t="s">
        <v>1507</v>
      </c>
      <c r="H415" s="20" t="s">
        <v>1508</v>
      </c>
      <c r="I415" s="5" t="s">
        <v>29</v>
      </c>
      <c r="J415" s="4" t="s">
        <v>30</v>
      </c>
      <c r="K415" s="4" t="str" cm="1">
        <f t="array" ref="K41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08. Xử lý Nợ, VAMC và Thu hồi Tài sản</v>
      </c>
      <c r="L415" s="4" t="s">
        <v>28</v>
      </c>
      <c r="M415" s="4" t="s">
        <v>31</v>
      </c>
      <c r="N415" s="4" t="s">
        <v>1725</v>
      </c>
      <c r="O415" s="4" t="s">
        <v>32</v>
      </c>
      <c r="P415" s="6">
        <v>46242</v>
      </c>
      <c r="Q415" s="6">
        <v>46242</v>
      </c>
      <c r="R415" s="5">
        <v>1</v>
      </c>
      <c r="S415" s="5" t="s">
        <v>33</v>
      </c>
      <c r="T415" s="13">
        <v>46265</v>
      </c>
      <c r="U415" s="13">
        <v>46265</v>
      </c>
      <c r="V415" s="5">
        <v>0</v>
      </c>
      <c r="W415" s="22">
        <f>_xlfn.LET(
_xlpm.H,Table1[[#This Row],[Thời hạn mới nhất (Date)]],
_xlpm.S,Table1[[#This Row],[Snapshot]],
IF(
    ISNUMBER(_xlpm.H),
    INT(_xlpm.H)-INT(_xlpm.S),
    "Không giao thời hạn"
))</f>
        <v>-10</v>
      </c>
      <c r="X415" s="4" t="s">
        <v>34</v>
      </c>
      <c r="Y415" s="5"/>
      <c r="Z415" s="5" t="s">
        <v>35</v>
      </c>
      <c r="AA415" s="5"/>
      <c r="AB415" s="4" t="s">
        <v>36</v>
      </c>
      <c r="AC415" s="6">
        <v>46295</v>
      </c>
      <c r="AD415" s="6">
        <v>46295</v>
      </c>
      <c r="AE415" s="4">
        <v>0</v>
      </c>
      <c r="AF415" s="26">
        <f>_xlfn.LET(
_xlpm.H,Table1[[#This Row],[Thời hạn mới nhất (Date)]],
_xlpm.D,Table1[[#This Row],[Dự kiến mới nhất (Date)]],
IF(
NOT(ISNUMBER(_xlpm.H)),"Không giao thời hạn",
IF(
NOT(ISNUMBER(_xlpm.D)),"Chưa có dự kiến",
_xlpm.D-_xlpm.H
)))</f>
        <v>30</v>
      </c>
    </row>
    <row r="416" spans="1:32" ht="43.75" x14ac:dyDescent="0.4">
      <c r="A416" s="44">
        <v>46275</v>
      </c>
      <c r="B416" s="4" t="s">
        <v>195</v>
      </c>
      <c r="C416" s="5" t="s">
        <v>44</v>
      </c>
      <c r="D416" s="5">
        <v>42</v>
      </c>
      <c r="E416" s="5" t="str">
        <f>_xlfn.TEXTJOIN("+",TRUE,Table1[[#This Row],[Snapshot]:[ID]])</f>
        <v>46275+DIR-EF8A36A55E23</v>
      </c>
      <c r="F416" s="5"/>
      <c r="G416" s="5" t="s">
        <v>1299</v>
      </c>
      <c r="H416" s="20" t="s">
        <v>1299</v>
      </c>
      <c r="I416" s="5" t="s">
        <v>196</v>
      </c>
      <c r="J416" s="4" t="s">
        <v>30</v>
      </c>
      <c r="K416" s="4" t="str" cm="1">
        <f t="array" ref="K41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05. Quản trị Dữ liệu và Tích hợp Dữ liệu</v>
      </c>
      <c r="L416" s="4" t="s">
        <v>44</v>
      </c>
      <c r="M416" s="4" t="s">
        <v>197</v>
      </c>
      <c r="N416" s="4" t="s">
        <v>1703</v>
      </c>
      <c r="O416" s="4" t="s">
        <v>181</v>
      </c>
      <c r="P416" s="13">
        <v>46270</v>
      </c>
      <c r="Q416" s="13">
        <v>46270</v>
      </c>
      <c r="R416" s="5">
        <v>1</v>
      </c>
      <c r="S416" s="5"/>
      <c r="T416" s="13"/>
      <c r="U416" s="13"/>
      <c r="V416" s="5">
        <v>0</v>
      </c>
      <c r="W416" s="22" t="str">
        <f>_xlfn.LET(
_xlpm.H,Table1[[#This Row],[Thời hạn mới nhất (Date)]],
_xlpm.S,Table1[[#This Row],[Snapshot]],
IF(
    ISNUMBER(_xlpm.H),
    INT(_xlpm.H)-INT(_xlpm.S),
    "Không giao thời hạn"
))</f>
        <v>Không giao thời hạn</v>
      </c>
      <c r="X416" s="4" t="s">
        <v>198</v>
      </c>
      <c r="Y416" s="5" t="s">
        <v>194</v>
      </c>
      <c r="Z416" s="5"/>
      <c r="AA416" s="5"/>
      <c r="AB416" s="4"/>
      <c r="AC416" s="6"/>
      <c r="AD416" s="6"/>
      <c r="AE416" s="4">
        <v>0</v>
      </c>
      <c r="AF416" s="26" t="str">
        <f>_xlfn.LET(
_xlpm.H,Table1[[#This Row],[Thời hạn mới nhất (Date)]],
_xlpm.D,Table1[[#This Row],[Dự kiến mới nhất (Date)]],
IF(
NOT(ISNUMBER(_xlpm.H)),"Không giao thời hạn",
IF(
NOT(ISNUMBER(_xlpm.D)),"Chưa có dự kiến",
_xlpm.D-_xlpm.H
)))</f>
        <v>Không giao thời hạn</v>
      </c>
    </row>
    <row r="417" spans="1:32" ht="72.900000000000006" x14ac:dyDescent="0.4">
      <c r="A417" s="44">
        <v>46282</v>
      </c>
      <c r="B417" s="4" t="s">
        <v>178</v>
      </c>
      <c r="C417" s="5" t="s">
        <v>44</v>
      </c>
      <c r="D417" s="5">
        <v>28</v>
      </c>
      <c r="E417" s="5" t="str">
        <f>_xlfn.TEXTJOIN("+",TRUE,Table1[[#This Row],[Snapshot]:[ID]])</f>
        <v>46282+DIR-F38BDA120091</v>
      </c>
      <c r="F417" s="5"/>
      <c r="G417" s="5" t="s">
        <v>1313</v>
      </c>
      <c r="H417" s="20" t="s">
        <v>1313</v>
      </c>
      <c r="I417" s="5" t="s">
        <v>120</v>
      </c>
      <c r="J417" s="4" t="s">
        <v>30</v>
      </c>
      <c r="K417" s="4" t="str" cm="1">
        <f t="array" ref="K41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417" s="4" t="s">
        <v>44</v>
      </c>
      <c r="M417" s="4" t="s">
        <v>180</v>
      </c>
      <c r="N417" s="4" t="s">
        <v>1703</v>
      </c>
      <c r="O417" s="4" t="s">
        <v>181</v>
      </c>
      <c r="P417" s="6">
        <v>46270</v>
      </c>
      <c r="Q417" s="6">
        <v>46270</v>
      </c>
      <c r="R417" s="5">
        <v>1</v>
      </c>
      <c r="S417" s="5" t="s">
        <v>182</v>
      </c>
      <c r="T417" s="13">
        <v>46295</v>
      </c>
      <c r="U417" s="13">
        <v>46295</v>
      </c>
      <c r="V417" s="5">
        <v>0</v>
      </c>
      <c r="W417" s="22">
        <f>_xlfn.LET(
_xlpm.H,Table1[[#This Row],[Thời hạn mới nhất (Date)]],
_xlpm.S,Table1[[#This Row],[Snapshot]],
IF(
    ISNUMBER(_xlpm.H),
    INT(_xlpm.H)-INT(_xlpm.S),
    "Không giao thời hạn"
))</f>
        <v>13</v>
      </c>
      <c r="X417" s="4" t="s">
        <v>183</v>
      </c>
      <c r="Y417" s="5"/>
      <c r="Z417" s="5" t="s">
        <v>35</v>
      </c>
      <c r="AA417" s="5"/>
      <c r="AB417" s="4"/>
      <c r="AC417" s="6"/>
      <c r="AD417" s="6"/>
      <c r="AE417" s="4">
        <v>0</v>
      </c>
      <c r="AF417" s="26" t="str">
        <f>_xlfn.LET(
_xlpm.H,Table1[[#This Row],[Thời hạn mới nhất (Date)]],
_xlpm.D,Table1[[#This Row],[Dự kiến mới nhất (Date)]],
IF(
NOT(ISNUMBER(_xlpm.H)),"Không giao thời hạn",
IF(
NOT(ISNUMBER(_xlpm.D)),"Chưa có dự kiến",
_xlpm.D-_xlpm.H
)))</f>
        <v>Chưa có dự kiến</v>
      </c>
    </row>
    <row r="418" spans="1:32" ht="72.900000000000006" x14ac:dyDescent="0.4">
      <c r="A418" s="44">
        <v>46275</v>
      </c>
      <c r="B418" s="4" t="s">
        <v>178</v>
      </c>
      <c r="C418" s="5" t="s">
        <v>44</v>
      </c>
      <c r="D418" s="5">
        <v>39</v>
      </c>
      <c r="E418" s="5" t="str">
        <f>_xlfn.TEXTJOIN("+",TRUE,Table1[[#This Row],[Snapshot]:[ID]])</f>
        <v>46275+DIR-F38BDA120091</v>
      </c>
      <c r="F418" s="5"/>
      <c r="G418" s="5" t="s">
        <v>1313</v>
      </c>
      <c r="H418" s="20" t="s">
        <v>1313</v>
      </c>
      <c r="I418" s="5" t="s">
        <v>179</v>
      </c>
      <c r="J418" s="4" t="s">
        <v>30</v>
      </c>
      <c r="K418" s="4" t="str" cm="1">
        <f t="array" ref="K41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23. Trạm Công dân số, Galaxy ID và Dịch vụ công</v>
      </c>
      <c r="L418" s="4" t="s">
        <v>44</v>
      </c>
      <c r="M418" s="4" t="s">
        <v>180</v>
      </c>
      <c r="N418" s="4" t="s">
        <v>1703</v>
      </c>
      <c r="O418" s="4" t="s">
        <v>181</v>
      </c>
      <c r="P418" s="6">
        <v>46270</v>
      </c>
      <c r="Q418" s="6">
        <v>46270</v>
      </c>
      <c r="R418" s="5">
        <v>1</v>
      </c>
      <c r="S418" s="5" t="s">
        <v>182</v>
      </c>
      <c r="T418" s="13">
        <v>46295</v>
      </c>
      <c r="U418" s="13">
        <v>46295</v>
      </c>
      <c r="V418" s="5">
        <v>0</v>
      </c>
      <c r="W418" s="22">
        <f>_xlfn.LET(
_xlpm.H,Table1[[#This Row],[Thời hạn mới nhất (Date)]],
_xlpm.S,Table1[[#This Row],[Snapshot]],
IF(
    ISNUMBER(_xlpm.H),
    INT(_xlpm.H)-INT(_xlpm.S),
    "Không giao thời hạn"
))</f>
        <v>20</v>
      </c>
      <c r="X418" s="4" t="s">
        <v>183</v>
      </c>
      <c r="Y418" s="5"/>
      <c r="Z418" s="5" t="s">
        <v>35</v>
      </c>
      <c r="AA418" s="5"/>
      <c r="AB418" s="4"/>
      <c r="AC418" s="6"/>
      <c r="AD418" s="6"/>
      <c r="AE418" s="4">
        <v>0</v>
      </c>
      <c r="AF418" s="26" t="str">
        <f>_xlfn.LET(
_xlpm.H,Table1[[#This Row],[Thời hạn mới nhất (Date)]],
_xlpm.D,Table1[[#This Row],[Dự kiến mới nhất (Date)]],
IF(
NOT(ISNUMBER(_xlpm.H)),"Không giao thời hạn",
IF(
NOT(ISNUMBER(_xlpm.D)),"Chưa có dự kiến",
_xlpm.D-_xlpm.H
)))</f>
        <v>Chưa có dự kiến</v>
      </c>
    </row>
    <row r="419" spans="1:32" ht="276.89999999999998" x14ac:dyDescent="0.4">
      <c r="A419" s="44">
        <v>46282</v>
      </c>
      <c r="B419" s="4" t="s">
        <v>237</v>
      </c>
      <c r="C419" s="5" t="s">
        <v>44</v>
      </c>
      <c r="D419" s="5">
        <v>55</v>
      </c>
      <c r="E419" s="5" t="str">
        <f>_xlfn.TEXTJOIN("+",TRUE,Table1[[#This Row],[Snapshot]:[ID]])</f>
        <v>46282+DIR-F410FF3DF616</v>
      </c>
      <c r="F419" s="5"/>
      <c r="G419" s="5" t="s">
        <v>1299</v>
      </c>
      <c r="H419" s="20" t="s">
        <v>1299</v>
      </c>
      <c r="I419" s="5" t="s">
        <v>45</v>
      </c>
      <c r="J419" s="4" t="s">
        <v>200</v>
      </c>
      <c r="K419" s="4" t="str" cm="1">
        <f t="array" ref="K41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419" s="4" t="s">
        <v>44</v>
      </c>
      <c r="M419" s="4" t="s">
        <v>238</v>
      </c>
      <c r="N419" s="4" t="s">
        <v>1705</v>
      </c>
      <c r="O419" s="4" t="s">
        <v>239</v>
      </c>
      <c r="P419" s="6">
        <v>46097</v>
      </c>
      <c r="Q419" s="6">
        <v>46097</v>
      </c>
      <c r="R419" s="5">
        <v>1</v>
      </c>
      <c r="S419" s="5"/>
      <c r="T419" s="13"/>
      <c r="U419" s="13"/>
      <c r="V419" s="5">
        <v>0</v>
      </c>
      <c r="W419" s="22" t="str">
        <f>_xlfn.LET(
_xlpm.H,Table1[[#This Row],[Thời hạn mới nhất (Date)]],
_xlpm.S,Table1[[#This Row],[Snapshot]],
IF(
    ISNUMBER(_xlpm.H),
    INT(_xlpm.H)-INT(_xlpm.S),
    "Không giao thời hạn"
))</f>
        <v>Không giao thời hạn</v>
      </c>
      <c r="X419" s="4" t="s">
        <v>240</v>
      </c>
      <c r="Y419" s="5"/>
      <c r="Z419" s="5" t="s">
        <v>35</v>
      </c>
      <c r="AA419" s="5"/>
      <c r="AB419" s="4" t="s">
        <v>241</v>
      </c>
      <c r="AC419" s="6"/>
      <c r="AD419" s="6"/>
      <c r="AE419" s="4">
        <v>0</v>
      </c>
      <c r="AF419" s="26" t="str">
        <f>_xlfn.LET(
_xlpm.H,Table1[[#This Row],[Thời hạn mới nhất (Date)]],
_xlpm.D,Table1[[#This Row],[Dự kiến mới nhất (Date)]],
IF(
NOT(ISNUMBER(_xlpm.H)),"Không giao thời hạn",
IF(
NOT(ISNUMBER(_xlpm.D)),"Chưa có dự kiến",
_xlpm.D-_xlpm.H
)))</f>
        <v>Không giao thời hạn</v>
      </c>
    </row>
    <row r="420" spans="1:32" ht="276.89999999999998" x14ac:dyDescent="0.4">
      <c r="A420" s="44">
        <v>46275</v>
      </c>
      <c r="B420" s="4" t="s">
        <v>237</v>
      </c>
      <c r="C420" s="5" t="s">
        <v>44</v>
      </c>
      <c r="D420" s="5">
        <v>56</v>
      </c>
      <c r="E420" s="5" t="str">
        <f>_xlfn.TEXTJOIN("+",TRUE,Table1[[#This Row],[Snapshot]:[ID]])</f>
        <v>46275+DIR-F410FF3DF616</v>
      </c>
      <c r="F420" s="5"/>
      <c r="G420" s="5" t="s">
        <v>1299</v>
      </c>
      <c r="H420" s="20" t="s">
        <v>1299</v>
      </c>
      <c r="I420" s="5" t="s">
        <v>45</v>
      </c>
      <c r="J420" s="4" t="s">
        <v>200</v>
      </c>
      <c r="K420" s="4" t="str" cm="1">
        <f t="array" ref="K42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420" s="4" t="s">
        <v>44</v>
      </c>
      <c r="M420" s="4" t="s">
        <v>238</v>
      </c>
      <c r="N420" s="4" t="s">
        <v>1705</v>
      </c>
      <c r="O420" s="4" t="s">
        <v>239</v>
      </c>
      <c r="P420" s="6">
        <v>46097</v>
      </c>
      <c r="Q420" s="6">
        <v>46097</v>
      </c>
      <c r="R420" s="5">
        <v>1</v>
      </c>
      <c r="S420" s="5"/>
      <c r="T420" s="13"/>
      <c r="U420" s="13"/>
      <c r="V420" s="5">
        <v>0</v>
      </c>
      <c r="W420" s="22" t="str">
        <f>_xlfn.LET(
_xlpm.H,Table1[[#This Row],[Thời hạn mới nhất (Date)]],
_xlpm.S,Table1[[#This Row],[Snapshot]],
IF(
    ISNUMBER(_xlpm.H),
    INT(_xlpm.H)-INT(_xlpm.S),
    "Không giao thời hạn"
))</f>
        <v>Không giao thời hạn</v>
      </c>
      <c r="X420" s="4" t="s">
        <v>240</v>
      </c>
      <c r="Y420" s="5"/>
      <c r="Z420" s="5" t="s">
        <v>35</v>
      </c>
      <c r="AA420" s="5"/>
      <c r="AB420" s="4" t="s">
        <v>241</v>
      </c>
      <c r="AC420" s="6"/>
      <c r="AD420" s="6"/>
      <c r="AE420" s="4">
        <v>0</v>
      </c>
      <c r="AF420" s="26" t="str">
        <f>_xlfn.LET(
_xlpm.H,Table1[[#This Row],[Thời hạn mới nhất (Date)]],
_xlpm.D,Table1[[#This Row],[Dự kiến mới nhất (Date)]],
IF(
NOT(ISNUMBER(_xlpm.H)),"Không giao thời hạn",
IF(
NOT(ISNUMBER(_xlpm.D)),"Chưa có dự kiến",
_xlpm.D-_xlpm.H
)))</f>
        <v>Không giao thời hạn</v>
      </c>
    </row>
    <row r="421" spans="1:32" ht="145.75" x14ac:dyDescent="0.4">
      <c r="A421" s="44">
        <v>46282</v>
      </c>
      <c r="B421" s="4" t="s">
        <v>999</v>
      </c>
      <c r="C421" s="5" t="s">
        <v>888</v>
      </c>
      <c r="D421" s="5">
        <v>18</v>
      </c>
      <c r="E421" s="5" t="str">
        <f>_xlfn.TEXTJOIN("+",TRUE,Table1[[#This Row],[Snapshot]:[ID]])</f>
        <v>46282+DIR-F46C56B6C1B7</v>
      </c>
      <c r="F421" s="5"/>
      <c r="G421" s="5" t="s">
        <v>1290</v>
      </c>
      <c r="H421" s="20" t="s">
        <v>1290</v>
      </c>
      <c r="I421" s="5" t="s">
        <v>75</v>
      </c>
      <c r="J421" s="4" t="s">
        <v>30</v>
      </c>
      <c r="K421" s="4" t="str" cm="1">
        <f t="array" ref="K42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421" s="4" t="s">
        <v>888</v>
      </c>
      <c r="M421" s="4" t="s">
        <v>1000</v>
      </c>
      <c r="N421" s="4" t="s">
        <v>1710</v>
      </c>
      <c r="O421" s="4" t="s">
        <v>906</v>
      </c>
      <c r="P421" s="6">
        <v>46277</v>
      </c>
      <c r="Q421" s="6">
        <v>46277</v>
      </c>
      <c r="R421" s="5">
        <v>1</v>
      </c>
      <c r="S421" s="5" t="s">
        <v>910</v>
      </c>
      <c r="T421" s="13">
        <v>46280</v>
      </c>
      <c r="U421" s="13">
        <v>46280</v>
      </c>
      <c r="V421" s="5">
        <v>0</v>
      </c>
      <c r="W421" s="22">
        <f>_xlfn.LET(
_xlpm.H,Table1[[#This Row],[Thời hạn mới nhất (Date)]],
_xlpm.S,Table1[[#This Row],[Snapshot]],
IF(
    ISNUMBER(_xlpm.H),
    INT(_xlpm.H)-INT(_xlpm.S),
    "Không giao thời hạn"
))</f>
        <v>-2</v>
      </c>
      <c r="X421" s="4"/>
      <c r="Y421" s="5"/>
      <c r="Z421" s="5"/>
      <c r="AA421" s="5"/>
      <c r="AB421" s="4"/>
      <c r="AC421" s="6"/>
      <c r="AD421" s="6"/>
      <c r="AE421" s="4">
        <v>0</v>
      </c>
      <c r="AF421" s="26" t="str">
        <f>_xlfn.LET(
_xlpm.H,Table1[[#This Row],[Thời hạn mới nhất (Date)]],
_xlpm.D,Table1[[#This Row],[Dự kiến mới nhất (Date)]],
IF(
NOT(ISNUMBER(_xlpm.H)),"Không giao thời hạn",
IF(
NOT(ISNUMBER(_xlpm.D)),"Chưa có dự kiến",
_xlpm.D-_xlpm.H
)))</f>
        <v>Chưa có dự kiến</v>
      </c>
    </row>
    <row r="422" spans="1:32" ht="160.30000000000001" x14ac:dyDescent="0.4">
      <c r="A422" s="44">
        <v>46282</v>
      </c>
      <c r="B422" s="4" t="s">
        <v>908</v>
      </c>
      <c r="C422" s="5" t="s">
        <v>44</v>
      </c>
      <c r="D422" s="5">
        <v>31</v>
      </c>
      <c r="E422" s="5" t="str">
        <f>_xlfn.TEXTJOIN("+",TRUE,Table1[[#This Row],[Snapshot]:[ID]])</f>
        <v>46282+DIR-F492B2D8239C</v>
      </c>
      <c r="F422" s="5"/>
      <c r="G422" s="5" t="s">
        <v>2053</v>
      </c>
      <c r="H422" s="20" t="s">
        <v>2054</v>
      </c>
      <c r="I422" s="5" t="s">
        <v>135</v>
      </c>
      <c r="J422" s="4" t="s">
        <v>30</v>
      </c>
      <c r="K422" s="4" t="str" cm="1">
        <f t="array" ref="K42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24. Hệ sinh thái Giáo dục và Tài chính Giáo dục</v>
      </c>
      <c r="L422" s="4" t="s">
        <v>44</v>
      </c>
      <c r="M422" s="4" t="s">
        <v>909</v>
      </c>
      <c r="N422" s="4" t="s">
        <v>1721</v>
      </c>
      <c r="O422" s="4" t="s">
        <v>906</v>
      </c>
      <c r="P422" s="6">
        <v>46277</v>
      </c>
      <c r="Q422" s="6">
        <v>46277</v>
      </c>
      <c r="R422" s="5">
        <v>1</v>
      </c>
      <c r="S422" s="5" t="s">
        <v>910</v>
      </c>
      <c r="T422" s="13">
        <v>46280</v>
      </c>
      <c r="U422" s="13">
        <v>46280</v>
      </c>
      <c r="V422" s="5">
        <v>0</v>
      </c>
      <c r="W422" s="22">
        <f>_xlfn.LET(
_xlpm.H,Table1[[#This Row],[Thời hạn mới nhất (Date)]],
_xlpm.S,Table1[[#This Row],[Snapshot]],
IF(
    ISNUMBER(_xlpm.H),
    INT(_xlpm.H)-INT(_xlpm.S),
    "Không giao thời hạn"
))</f>
        <v>-2</v>
      </c>
      <c r="X422" s="4"/>
      <c r="Y422" s="5"/>
      <c r="Z422" s="5"/>
      <c r="AA422" s="5"/>
      <c r="AB422" s="4"/>
      <c r="AC422" s="6"/>
      <c r="AD422" s="6"/>
      <c r="AE422" s="4">
        <v>0</v>
      </c>
      <c r="AF422" s="26" t="str">
        <f>_xlfn.LET(
_xlpm.H,Table1[[#This Row],[Thời hạn mới nhất (Date)]],
_xlpm.D,Table1[[#This Row],[Dự kiến mới nhất (Date)]],
IF(
NOT(ISNUMBER(_xlpm.H)),"Không giao thời hạn",
IF(
NOT(ISNUMBER(_xlpm.D)),"Chưa có dự kiến",
_xlpm.D-_xlpm.H
)))</f>
        <v>Chưa có dự kiến</v>
      </c>
    </row>
    <row r="423" spans="1:32" ht="262.3" x14ac:dyDescent="0.4">
      <c r="A423" s="44">
        <v>46282</v>
      </c>
      <c r="B423" s="4" t="s">
        <v>51</v>
      </c>
      <c r="C423" s="5" t="s">
        <v>44</v>
      </c>
      <c r="D423" s="5">
        <v>14</v>
      </c>
      <c r="E423" s="5" t="str">
        <f>_xlfn.TEXTJOIN("+",TRUE,Table1[[#This Row],[Snapshot]:[ID]])</f>
        <v>46282+DIR-F4C7118E214D</v>
      </c>
      <c r="F423" s="5"/>
      <c r="G423" s="5" t="s">
        <v>2055</v>
      </c>
      <c r="H423" s="20" t="s">
        <v>2056</v>
      </c>
      <c r="I423" s="5" t="s">
        <v>52</v>
      </c>
      <c r="J423" s="4" t="s">
        <v>30</v>
      </c>
      <c r="K423" s="4" t="str" cm="1">
        <f t="array" ref="K42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423" s="4" t="s">
        <v>44</v>
      </c>
      <c r="M423" s="4" t="s">
        <v>53</v>
      </c>
      <c r="N423" s="4" t="s">
        <v>1703</v>
      </c>
      <c r="O423" s="4" t="s">
        <v>54</v>
      </c>
      <c r="P423" s="6">
        <v>46130</v>
      </c>
      <c r="Q423" s="6">
        <v>46130</v>
      </c>
      <c r="R423" s="5">
        <v>1</v>
      </c>
      <c r="S423" s="5"/>
      <c r="T423" s="13"/>
      <c r="U423" s="13"/>
      <c r="V423" s="5">
        <v>0</v>
      </c>
      <c r="W423" s="22" t="str">
        <f>_xlfn.LET(
_xlpm.H,Table1[[#This Row],[Thời hạn mới nhất (Date)]],
_xlpm.S,Table1[[#This Row],[Snapshot]],
IF(
    ISNUMBER(_xlpm.H),
    INT(_xlpm.H)-INT(_xlpm.S),
    "Không giao thời hạn"
))</f>
        <v>Không giao thời hạn</v>
      </c>
      <c r="X423" s="4" t="s">
        <v>55</v>
      </c>
      <c r="Y423" s="5"/>
      <c r="Z423" s="5" t="s">
        <v>35</v>
      </c>
      <c r="AA423" s="5"/>
      <c r="AB423" s="4"/>
      <c r="AC423" s="6"/>
      <c r="AD423" s="6"/>
      <c r="AE423" s="4">
        <v>0</v>
      </c>
      <c r="AF423" s="26" t="str">
        <f>_xlfn.LET(
_xlpm.H,Table1[[#This Row],[Thời hạn mới nhất (Date)]],
_xlpm.D,Table1[[#This Row],[Dự kiến mới nhất (Date)]],
IF(
NOT(ISNUMBER(_xlpm.H)),"Không giao thời hạn",
IF(
NOT(ISNUMBER(_xlpm.D)),"Chưa có dự kiến",
_xlpm.D-_xlpm.H
)))</f>
        <v>Không giao thời hạn</v>
      </c>
    </row>
    <row r="424" spans="1:32" ht="262.3" x14ac:dyDescent="0.4">
      <c r="A424" s="44">
        <v>46275</v>
      </c>
      <c r="B424" s="4" t="s">
        <v>51</v>
      </c>
      <c r="C424" s="5" t="s">
        <v>44</v>
      </c>
      <c r="D424" s="5">
        <v>14</v>
      </c>
      <c r="E424" s="5" t="str">
        <f>_xlfn.TEXTJOIN("+",TRUE,Table1[[#This Row],[Snapshot]:[ID]])</f>
        <v>46275+DIR-F4C7118E214D</v>
      </c>
      <c r="F424" s="5"/>
      <c r="G424" s="5" t="s">
        <v>2057</v>
      </c>
      <c r="H424" s="20" t="s">
        <v>2058</v>
      </c>
      <c r="I424" s="5" t="s">
        <v>52</v>
      </c>
      <c r="J424" s="4" t="s">
        <v>30</v>
      </c>
      <c r="K424" s="4" t="str" cm="1">
        <f t="array" ref="K42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30. Quan hệ Đối tác và Liên kết Kinh doanh</v>
      </c>
      <c r="L424" s="4" t="s">
        <v>44</v>
      </c>
      <c r="M424" s="4" t="s">
        <v>53</v>
      </c>
      <c r="N424" s="4" t="s">
        <v>1703</v>
      </c>
      <c r="O424" s="4" t="s">
        <v>54</v>
      </c>
      <c r="P424" s="6">
        <v>46130</v>
      </c>
      <c r="Q424" s="6">
        <v>46130</v>
      </c>
      <c r="R424" s="5">
        <v>1</v>
      </c>
      <c r="S424" s="5"/>
      <c r="T424" s="13"/>
      <c r="U424" s="13"/>
      <c r="V424" s="5">
        <v>0</v>
      </c>
      <c r="W424" s="22" t="str">
        <f>_xlfn.LET(
_xlpm.H,Table1[[#This Row],[Thời hạn mới nhất (Date)]],
_xlpm.S,Table1[[#This Row],[Snapshot]],
IF(
    ISNUMBER(_xlpm.H),
    INT(_xlpm.H)-INT(_xlpm.S),
    "Không giao thời hạn"
))</f>
        <v>Không giao thời hạn</v>
      </c>
      <c r="X424" s="4" t="s">
        <v>55</v>
      </c>
      <c r="Y424" s="5"/>
      <c r="Z424" s="5" t="s">
        <v>35</v>
      </c>
      <c r="AA424" s="5"/>
      <c r="AB424" s="4"/>
      <c r="AC424" s="6"/>
      <c r="AD424" s="6"/>
      <c r="AE424" s="4">
        <v>0</v>
      </c>
      <c r="AF424" s="26" t="str">
        <f>_xlfn.LET(
_xlpm.H,Table1[[#This Row],[Thời hạn mới nhất (Date)]],
_xlpm.D,Table1[[#This Row],[Dự kiến mới nhất (Date)]],
IF(
NOT(ISNUMBER(_xlpm.H)),"Không giao thời hạn",
IF(
NOT(ISNUMBER(_xlpm.D)),"Chưa có dự kiến",
_xlpm.D-_xlpm.H
)))</f>
        <v>Không giao thời hạn</v>
      </c>
    </row>
    <row r="425" spans="1:32" ht="131.15" x14ac:dyDescent="0.4">
      <c r="A425" s="44">
        <v>46282</v>
      </c>
      <c r="B425" s="4" t="s">
        <v>606</v>
      </c>
      <c r="C425" s="5" t="s">
        <v>607</v>
      </c>
      <c r="D425" s="5">
        <v>13</v>
      </c>
      <c r="E425" s="5" t="str">
        <f>_xlfn.TEXTJOIN("+",TRUE,Table1[[#This Row],[Snapshot]:[ID]])</f>
        <v>46282+DIR-F57198B8C0D9</v>
      </c>
      <c r="F425" s="5"/>
      <c r="G425" s="5" t="s">
        <v>2059</v>
      </c>
      <c r="H425" s="20" t="s">
        <v>2060</v>
      </c>
      <c r="I425" s="5" t="s">
        <v>45</v>
      </c>
      <c r="J425" s="4" t="s">
        <v>30</v>
      </c>
      <c r="K425" s="4" t="str" cm="1">
        <f t="array" ref="K42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425" s="4" t="s">
        <v>607</v>
      </c>
      <c r="M425" s="4" t="s">
        <v>608</v>
      </c>
      <c r="N425" s="4" t="s">
        <v>1700</v>
      </c>
      <c r="O425" s="4" t="s">
        <v>389</v>
      </c>
      <c r="P425" s="6">
        <v>46116</v>
      </c>
      <c r="Q425" s="6">
        <v>46116</v>
      </c>
      <c r="R425" s="5">
        <v>1</v>
      </c>
      <c r="S425" s="5"/>
      <c r="T425" s="13"/>
      <c r="U425" s="13"/>
      <c r="V425" s="5">
        <v>0</v>
      </c>
      <c r="W425" s="22" t="str">
        <f>_xlfn.LET(
_xlpm.H,Table1[[#This Row],[Thời hạn mới nhất (Date)]],
_xlpm.S,Table1[[#This Row],[Snapshot]],
IF(
    ISNUMBER(_xlpm.H),
    INT(_xlpm.H)-INT(_xlpm.S),
    "Không giao thời hạn"
))</f>
        <v>Không giao thời hạn</v>
      </c>
      <c r="X425" s="4" t="s">
        <v>609</v>
      </c>
      <c r="Y425" s="5"/>
      <c r="Z425" s="5" t="s">
        <v>35</v>
      </c>
      <c r="AA425" s="5"/>
      <c r="AB425" s="4" t="s">
        <v>610</v>
      </c>
      <c r="AC425" s="6">
        <v>46387</v>
      </c>
      <c r="AD425" s="6">
        <v>46387</v>
      </c>
      <c r="AE425" s="4">
        <v>0</v>
      </c>
      <c r="AF425" s="26" t="str">
        <f>_xlfn.LET(
_xlpm.H,Table1[[#This Row],[Thời hạn mới nhất (Date)]],
_xlpm.D,Table1[[#This Row],[Dự kiến mới nhất (Date)]],
IF(
NOT(ISNUMBER(_xlpm.H)),"Không giao thời hạn",
IF(
NOT(ISNUMBER(_xlpm.D)),"Chưa có dự kiến",
_xlpm.D-_xlpm.H
)))</f>
        <v>Không giao thời hạn</v>
      </c>
    </row>
    <row r="426" spans="1:32" ht="189.45" x14ac:dyDescent="0.4">
      <c r="A426" s="44">
        <v>46275</v>
      </c>
      <c r="B426" s="4" t="s">
        <v>606</v>
      </c>
      <c r="C426" s="5" t="s">
        <v>607</v>
      </c>
      <c r="D426" s="5">
        <v>13</v>
      </c>
      <c r="E426" s="5" t="str">
        <f>_xlfn.TEXTJOIN("+",TRUE,Table1[[#This Row],[Snapshot]:[ID]])</f>
        <v>46275+DIR-F57198B8C0D9</v>
      </c>
      <c r="F426" s="5"/>
      <c r="G426" s="5" t="s">
        <v>2061</v>
      </c>
      <c r="H426" s="20" t="s">
        <v>2062</v>
      </c>
      <c r="I426" s="5" t="s">
        <v>45</v>
      </c>
      <c r="J426" s="4" t="s">
        <v>30</v>
      </c>
      <c r="K426" s="4" t="str" cm="1">
        <f t="array" ref="K42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19. Mạng lưới, Điểm giao dịch và Công trình Trọng điểm</v>
      </c>
      <c r="L426" s="4" t="s">
        <v>607</v>
      </c>
      <c r="M426" s="4" t="s">
        <v>608</v>
      </c>
      <c r="N426" s="4" t="s">
        <v>1700</v>
      </c>
      <c r="O426" s="4" t="s">
        <v>389</v>
      </c>
      <c r="P426" s="6">
        <v>46116</v>
      </c>
      <c r="Q426" s="6">
        <v>46116</v>
      </c>
      <c r="R426" s="5">
        <v>1</v>
      </c>
      <c r="S426" s="5"/>
      <c r="T426" s="13"/>
      <c r="U426" s="13"/>
      <c r="V426" s="5">
        <v>0</v>
      </c>
      <c r="W426" s="22" t="str">
        <f>_xlfn.LET(
_xlpm.H,Table1[[#This Row],[Thời hạn mới nhất (Date)]],
_xlpm.S,Table1[[#This Row],[Snapshot]],
IF(
    ISNUMBER(_xlpm.H),
    INT(_xlpm.H)-INT(_xlpm.S),
    "Không giao thời hạn"
))</f>
        <v>Không giao thời hạn</v>
      </c>
      <c r="X426" s="4" t="s">
        <v>609</v>
      </c>
      <c r="Y426" s="5"/>
      <c r="Z426" s="5" t="s">
        <v>35</v>
      </c>
      <c r="AA426" s="5"/>
      <c r="AB426" s="4" t="s">
        <v>610</v>
      </c>
      <c r="AC426" s="6">
        <v>46387</v>
      </c>
      <c r="AD426" s="6">
        <v>46387</v>
      </c>
      <c r="AE426" s="4">
        <v>0</v>
      </c>
      <c r="AF426" s="26" t="str">
        <f>_xlfn.LET(
_xlpm.H,Table1[[#This Row],[Thời hạn mới nhất (Date)]],
_xlpm.D,Table1[[#This Row],[Dự kiến mới nhất (Date)]],
IF(
NOT(ISNUMBER(_xlpm.H)),"Không giao thời hạn",
IF(
NOT(ISNUMBER(_xlpm.D)),"Chưa có dự kiến",
_xlpm.D-_xlpm.H
)))</f>
        <v>Không giao thời hạn</v>
      </c>
    </row>
    <row r="427" spans="1:32" ht="72.900000000000006" x14ac:dyDescent="0.4">
      <c r="A427" s="44">
        <v>46282</v>
      </c>
      <c r="B427" s="4" t="s">
        <v>526</v>
      </c>
      <c r="C427" s="5" t="s">
        <v>469</v>
      </c>
      <c r="D427" s="5">
        <v>27</v>
      </c>
      <c r="E427" s="5" t="str">
        <f>_xlfn.TEXTJOIN("+",TRUE,Table1[[#This Row],[Snapshot]:[ID]])</f>
        <v>46282+DIR-F6451F0AB941</v>
      </c>
      <c r="F427" s="5"/>
      <c r="G427" s="5" t="s">
        <v>1299</v>
      </c>
      <c r="H427" s="20" t="s">
        <v>1299</v>
      </c>
      <c r="I427" s="5" t="s">
        <v>57</v>
      </c>
      <c r="J427" s="4" t="s">
        <v>200</v>
      </c>
      <c r="K427" s="4" t="str" cm="1">
        <f t="array" ref="K42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427" s="4" t="s">
        <v>469</v>
      </c>
      <c r="M427" s="4" t="s">
        <v>527</v>
      </c>
      <c r="N427" s="4" t="s">
        <v>1713</v>
      </c>
      <c r="O427" s="4" t="s">
        <v>528</v>
      </c>
      <c r="P427" s="6">
        <v>45870</v>
      </c>
      <c r="Q427" s="6">
        <v>45870</v>
      </c>
      <c r="R427" s="5">
        <v>1</v>
      </c>
      <c r="S427" s="5"/>
      <c r="T427" s="13"/>
      <c r="U427" s="13"/>
      <c r="V427" s="5">
        <v>0</v>
      </c>
      <c r="W427" s="22" t="str">
        <f>_xlfn.LET(
_xlpm.H,Table1[[#This Row],[Thời hạn mới nhất (Date)]],
_xlpm.S,Table1[[#This Row],[Snapshot]],
IF(
    ISNUMBER(_xlpm.H),
    INT(_xlpm.H)-INT(_xlpm.S),
    "Không giao thời hạn"
))</f>
        <v>Không giao thời hạn</v>
      </c>
      <c r="X427" s="4" t="s">
        <v>529</v>
      </c>
      <c r="Y427" s="5"/>
      <c r="Z427" s="5" t="s">
        <v>35</v>
      </c>
      <c r="AA427" s="5"/>
      <c r="AB427" s="4" t="s">
        <v>530</v>
      </c>
      <c r="AC427" s="6"/>
      <c r="AD427" s="6"/>
      <c r="AE427" s="4">
        <v>0</v>
      </c>
      <c r="AF427" s="26" t="str">
        <f>_xlfn.LET(
_xlpm.H,Table1[[#This Row],[Thời hạn mới nhất (Date)]],
_xlpm.D,Table1[[#This Row],[Dự kiến mới nhất (Date)]],
IF(
NOT(ISNUMBER(_xlpm.H)),"Không giao thời hạn",
IF(
NOT(ISNUMBER(_xlpm.D)),"Chưa có dự kiến",
_xlpm.D-_xlpm.H
)))</f>
        <v>Không giao thời hạn</v>
      </c>
    </row>
    <row r="428" spans="1:32" ht="72.900000000000006" x14ac:dyDescent="0.4">
      <c r="A428" s="44">
        <v>46275</v>
      </c>
      <c r="B428" s="4" t="s">
        <v>526</v>
      </c>
      <c r="C428" s="5" t="s">
        <v>469</v>
      </c>
      <c r="D428" s="5">
        <v>28</v>
      </c>
      <c r="E428" s="5" t="str">
        <f>_xlfn.TEXTJOIN("+",TRUE,Table1[[#This Row],[Snapshot]:[ID]])</f>
        <v>46275+DIR-F6451F0AB941</v>
      </c>
      <c r="F428" s="5"/>
      <c r="G428" s="5" t="s">
        <v>1299</v>
      </c>
      <c r="H428" s="20" t="s">
        <v>1299</v>
      </c>
      <c r="I428" s="5" t="s">
        <v>57</v>
      </c>
      <c r="J428" s="4" t="s">
        <v>200</v>
      </c>
      <c r="K428" s="4" t="str" cm="1">
        <f t="array" ref="K42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428" s="4" t="s">
        <v>469</v>
      </c>
      <c r="M428" s="4" t="s">
        <v>527</v>
      </c>
      <c r="N428" s="4" t="s">
        <v>1713</v>
      </c>
      <c r="O428" s="4" t="s">
        <v>528</v>
      </c>
      <c r="P428" s="6">
        <v>45870</v>
      </c>
      <c r="Q428" s="6">
        <v>45870</v>
      </c>
      <c r="R428" s="5">
        <v>1</v>
      </c>
      <c r="S428" s="5"/>
      <c r="T428" s="13"/>
      <c r="U428" s="13"/>
      <c r="V428" s="5">
        <v>0</v>
      </c>
      <c r="W428" s="22" t="str">
        <f>_xlfn.LET(
_xlpm.H,Table1[[#This Row],[Thời hạn mới nhất (Date)]],
_xlpm.S,Table1[[#This Row],[Snapshot]],
IF(
    ISNUMBER(_xlpm.H),
    INT(_xlpm.H)-INT(_xlpm.S),
    "Không giao thời hạn"
))</f>
        <v>Không giao thời hạn</v>
      </c>
      <c r="X428" s="4" t="s">
        <v>529</v>
      </c>
      <c r="Y428" s="5"/>
      <c r="Z428" s="5" t="s">
        <v>35</v>
      </c>
      <c r="AA428" s="5"/>
      <c r="AB428" s="4" t="s">
        <v>530</v>
      </c>
      <c r="AC428" s="6"/>
      <c r="AD428" s="6"/>
      <c r="AE428" s="4">
        <v>0</v>
      </c>
      <c r="AF428" s="26" t="str">
        <f>_xlfn.LET(
_xlpm.H,Table1[[#This Row],[Thời hạn mới nhất (Date)]],
_xlpm.D,Table1[[#This Row],[Dự kiến mới nhất (Date)]],
IF(
NOT(ISNUMBER(_xlpm.H)),"Không giao thời hạn",
IF(
NOT(ISNUMBER(_xlpm.D)),"Chưa có dự kiến",
_xlpm.D-_xlpm.H
)))</f>
        <v>Không giao thời hạn</v>
      </c>
    </row>
    <row r="429" spans="1:32" ht="43.75" x14ac:dyDescent="0.4">
      <c r="A429" s="44">
        <v>46275</v>
      </c>
      <c r="B429" s="4" t="s">
        <v>899</v>
      </c>
      <c r="C429" s="5" t="s">
        <v>888</v>
      </c>
      <c r="D429" s="5">
        <v>17</v>
      </c>
      <c r="E429" s="5" t="str">
        <f>_xlfn.TEXTJOIN("+",TRUE,Table1[[#This Row],[Snapshot]:[ID]])</f>
        <v>46275+DIR-F67BABFD43BB</v>
      </c>
      <c r="F429" s="5"/>
      <c r="G429" s="5" t="s">
        <v>1290</v>
      </c>
      <c r="H429" s="20" t="s">
        <v>1290</v>
      </c>
      <c r="I429" s="5" t="s">
        <v>69</v>
      </c>
      <c r="J429" s="4" t="s">
        <v>30</v>
      </c>
      <c r="K429" s="4" t="str" cm="1">
        <f t="array" ref="K42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429" s="4" t="s">
        <v>888</v>
      </c>
      <c r="M429" s="4" t="s">
        <v>900</v>
      </c>
      <c r="N429" s="4" t="s">
        <v>1711</v>
      </c>
      <c r="O429" s="4" t="s">
        <v>181</v>
      </c>
      <c r="P429" s="13">
        <v>46270</v>
      </c>
      <c r="Q429" s="13">
        <v>46270</v>
      </c>
      <c r="R429" s="5">
        <v>1</v>
      </c>
      <c r="S429" s="5"/>
      <c r="T429" s="13"/>
      <c r="U429" s="13"/>
      <c r="V429" s="5">
        <v>0</v>
      </c>
      <c r="W429" s="22" t="str">
        <f>_xlfn.LET(
_xlpm.H,Table1[[#This Row],[Thời hạn mới nhất (Date)]],
_xlpm.S,Table1[[#This Row],[Snapshot]],
IF(
    ISNUMBER(_xlpm.H),
    INT(_xlpm.H)-INT(_xlpm.S),
    "Không giao thời hạn"
))</f>
        <v>Không giao thời hạn</v>
      </c>
      <c r="X429" s="4" t="s">
        <v>901</v>
      </c>
      <c r="Y429" s="5" t="s">
        <v>35</v>
      </c>
      <c r="Z429" s="5"/>
      <c r="AA429" s="5"/>
      <c r="AB429" s="4"/>
      <c r="AC429" s="6"/>
      <c r="AD429" s="6"/>
      <c r="AE429" s="4">
        <v>0</v>
      </c>
      <c r="AF429" s="26" t="str">
        <f>_xlfn.LET(
_xlpm.H,Table1[[#This Row],[Thời hạn mới nhất (Date)]],
_xlpm.D,Table1[[#This Row],[Dự kiến mới nhất (Date)]],
IF(
NOT(ISNUMBER(_xlpm.H)),"Không giao thời hạn",
IF(
NOT(ISNUMBER(_xlpm.D)),"Chưa có dự kiến",
_xlpm.D-_xlpm.H
)))</f>
        <v>Không giao thời hạn</v>
      </c>
    </row>
    <row r="430" spans="1:32" ht="160.30000000000001" x14ac:dyDescent="0.4">
      <c r="A430" s="44">
        <v>46282</v>
      </c>
      <c r="B430" s="4" t="s">
        <v>273</v>
      </c>
      <c r="C430" s="5" t="s">
        <v>266</v>
      </c>
      <c r="D430" s="5">
        <v>15</v>
      </c>
      <c r="E430" s="5" t="str">
        <f>_xlfn.TEXTJOIN("+",TRUE,Table1[[#This Row],[Snapshot]:[ID]])</f>
        <v>46282+DIR-F72119B036EC</v>
      </c>
      <c r="F430" s="5"/>
      <c r="G430" s="5" t="s">
        <v>2063</v>
      </c>
      <c r="H430" s="20" t="s">
        <v>2064</v>
      </c>
      <c r="I430" s="5" t="s">
        <v>57</v>
      </c>
      <c r="J430" s="4" t="s">
        <v>30</v>
      </c>
      <c r="K430" s="4" t="str" cm="1">
        <f t="array" ref="K43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430" s="4" t="s">
        <v>266</v>
      </c>
      <c r="M430" s="4" t="s">
        <v>274</v>
      </c>
      <c r="N430" s="4" t="s">
        <v>1718</v>
      </c>
      <c r="O430" s="4" t="s">
        <v>275</v>
      </c>
      <c r="P430" s="6">
        <v>46256</v>
      </c>
      <c r="Q430" s="6">
        <v>46256</v>
      </c>
      <c r="R430" s="5">
        <v>1</v>
      </c>
      <c r="S430" s="5" t="s">
        <v>276</v>
      </c>
      <c r="T430" s="13">
        <v>46326</v>
      </c>
      <c r="U430" s="13">
        <v>46326</v>
      </c>
      <c r="V430" s="5">
        <v>0</v>
      </c>
      <c r="W430" s="22">
        <f>_xlfn.LET(
_xlpm.H,Table1[[#This Row],[Thời hạn mới nhất (Date)]],
_xlpm.S,Table1[[#This Row],[Snapshot]],
IF(
    ISNUMBER(_xlpm.H),
    INT(_xlpm.H)-INT(_xlpm.S),
    "Không giao thời hạn"
))</f>
        <v>44</v>
      </c>
      <c r="X430" s="4" t="s">
        <v>277</v>
      </c>
      <c r="Y430" s="5"/>
      <c r="Z430" s="5" t="s">
        <v>35</v>
      </c>
      <c r="AA430" s="5"/>
      <c r="AB430" s="4" t="s">
        <v>278</v>
      </c>
      <c r="AC430" s="6"/>
      <c r="AD430" s="6"/>
      <c r="AE430" s="4">
        <v>0</v>
      </c>
      <c r="AF430" s="26" t="str">
        <f>_xlfn.LET(
_xlpm.H,Table1[[#This Row],[Thời hạn mới nhất (Date)]],
_xlpm.D,Table1[[#This Row],[Dự kiến mới nhất (Date)]],
IF(
NOT(ISNUMBER(_xlpm.H)),"Không giao thời hạn",
IF(
NOT(ISNUMBER(_xlpm.D)),"Chưa có dự kiến",
_xlpm.D-_xlpm.H
)))</f>
        <v>Chưa có dự kiến</v>
      </c>
    </row>
    <row r="431" spans="1:32" ht="204" x14ac:dyDescent="0.4">
      <c r="A431" s="44">
        <v>46275</v>
      </c>
      <c r="B431" s="4" t="s">
        <v>273</v>
      </c>
      <c r="C431" s="5" t="s">
        <v>266</v>
      </c>
      <c r="D431" s="5">
        <v>15</v>
      </c>
      <c r="E431" s="5" t="str">
        <f>_xlfn.TEXTJOIN("+",TRUE,Table1[[#This Row],[Snapshot]:[ID]])</f>
        <v>46275+DIR-F72119B036EC</v>
      </c>
      <c r="F431" s="5"/>
      <c r="G431" s="5" t="s">
        <v>2065</v>
      </c>
      <c r="H431" s="20" t="s">
        <v>2066</v>
      </c>
      <c r="I431" s="5" t="s">
        <v>57</v>
      </c>
      <c r="J431" s="4" t="s">
        <v>30</v>
      </c>
      <c r="K431" s="4" t="str" cm="1">
        <f t="array" ref="K43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25. Hệ sinh thái Kiều hối và Tài khoản Đa tiền tệ</v>
      </c>
      <c r="L431" s="4" t="s">
        <v>266</v>
      </c>
      <c r="M431" s="4" t="s">
        <v>274</v>
      </c>
      <c r="N431" s="4" t="s">
        <v>1718</v>
      </c>
      <c r="O431" s="4" t="s">
        <v>275</v>
      </c>
      <c r="P431" s="6">
        <v>46256</v>
      </c>
      <c r="Q431" s="6">
        <v>46256</v>
      </c>
      <c r="R431" s="5">
        <v>1</v>
      </c>
      <c r="S431" s="5" t="s">
        <v>276</v>
      </c>
      <c r="T431" s="13">
        <v>46326</v>
      </c>
      <c r="U431" s="13">
        <v>46326</v>
      </c>
      <c r="V431" s="5">
        <v>0</v>
      </c>
      <c r="W431" s="22">
        <f>_xlfn.LET(
_xlpm.H,Table1[[#This Row],[Thời hạn mới nhất (Date)]],
_xlpm.S,Table1[[#This Row],[Snapshot]],
IF(
    ISNUMBER(_xlpm.H),
    INT(_xlpm.H)-INT(_xlpm.S),
    "Không giao thời hạn"
))</f>
        <v>51</v>
      </c>
      <c r="X431" s="4" t="s">
        <v>277</v>
      </c>
      <c r="Y431" s="5"/>
      <c r="Z431" s="5" t="s">
        <v>35</v>
      </c>
      <c r="AA431" s="5"/>
      <c r="AB431" s="4" t="s">
        <v>278</v>
      </c>
      <c r="AC431" s="6"/>
      <c r="AD431" s="6"/>
      <c r="AE431" s="4">
        <v>0</v>
      </c>
      <c r="AF431" s="26" t="str">
        <f>_xlfn.LET(
_xlpm.H,Table1[[#This Row],[Thời hạn mới nhất (Date)]],
_xlpm.D,Table1[[#This Row],[Dự kiến mới nhất (Date)]],
IF(
NOT(ISNUMBER(_xlpm.H)),"Không giao thời hạn",
IF(
NOT(ISNUMBER(_xlpm.D)),"Chưa có dự kiến",
_xlpm.D-_xlpm.H
)))</f>
        <v>Chưa có dự kiến</v>
      </c>
    </row>
    <row r="432" spans="1:32" ht="131.15" x14ac:dyDescent="0.4">
      <c r="A432" s="44">
        <v>46282</v>
      </c>
      <c r="B432" s="4" t="s">
        <v>555</v>
      </c>
      <c r="C432" s="5" t="s">
        <v>532</v>
      </c>
      <c r="D432" s="5">
        <v>19</v>
      </c>
      <c r="E432" s="5" t="str">
        <f>_xlfn.TEXTJOIN("+",TRUE,Table1[[#This Row],[Snapshot]:[ID]])</f>
        <v>46282+DIR-F760DE591AE7</v>
      </c>
      <c r="F432" s="5"/>
      <c r="G432" s="5" t="s">
        <v>2067</v>
      </c>
      <c r="H432" s="20" t="s">
        <v>2068</v>
      </c>
      <c r="I432" s="5" t="s">
        <v>80</v>
      </c>
      <c r="J432" s="4" t="s">
        <v>30</v>
      </c>
      <c r="K432" s="4" t="str" cm="1">
        <f t="array" ref="K43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11. Ngân sách, Chi phí và Thẩm quyền Tài chính</v>
      </c>
      <c r="L432" s="4" t="s">
        <v>532</v>
      </c>
      <c r="M432" s="4" t="s">
        <v>556</v>
      </c>
      <c r="N432" s="4" t="s">
        <v>1717</v>
      </c>
      <c r="O432" s="4" t="s">
        <v>71</v>
      </c>
      <c r="P432" s="6">
        <v>46235</v>
      </c>
      <c r="Q432" s="6">
        <v>46235</v>
      </c>
      <c r="R432" s="5">
        <v>1</v>
      </c>
      <c r="S432" s="5" t="s">
        <v>557</v>
      </c>
      <c r="T432" s="13">
        <v>46249</v>
      </c>
      <c r="U432" s="13">
        <v>46249</v>
      </c>
      <c r="V432" s="5">
        <v>0</v>
      </c>
      <c r="W432" s="22">
        <f>_xlfn.LET(
_xlpm.H,Table1[[#This Row],[Thời hạn mới nhất (Date)]],
_xlpm.S,Table1[[#This Row],[Snapshot]],
IF(
    ISNUMBER(_xlpm.H),
    INT(_xlpm.H)-INT(_xlpm.S),
    "Không giao thời hạn"
))</f>
        <v>-33</v>
      </c>
      <c r="X432" s="4" t="s">
        <v>558</v>
      </c>
      <c r="Y432" s="5"/>
      <c r="Z432" s="5" t="s">
        <v>35</v>
      </c>
      <c r="AA432" s="5"/>
      <c r="AB432" s="4"/>
      <c r="AC432" s="6"/>
      <c r="AD432" s="6"/>
      <c r="AE432" s="4">
        <v>0</v>
      </c>
      <c r="AF432" s="26" t="str">
        <f>_xlfn.LET(
_xlpm.H,Table1[[#This Row],[Thời hạn mới nhất (Date)]],
_xlpm.D,Table1[[#This Row],[Dự kiến mới nhất (Date)]],
IF(
NOT(ISNUMBER(_xlpm.H)),"Không giao thời hạn",
IF(
NOT(ISNUMBER(_xlpm.D)),"Chưa có dự kiến",
_xlpm.D-_xlpm.H
)))</f>
        <v>Chưa có dự kiến</v>
      </c>
    </row>
    <row r="433" spans="1:32" ht="131.15" x14ac:dyDescent="0.4">
      <c r="A433" s="44">
        <v>46275</v>
      </c>
      <c r="B433" s="4" t="s">
        <v>555</v>
      </c>
      <c r="C433" s="5" t="s">
        <v>532</v>
      </c>
      <c r="D433" s="5">
        <v>19</v>
      </c>
      <c r="E433" s="5" t="str">
        <f>_xlfn.TEXTJOIN("+",TRUE,Table1[[#This Row],[Snapshot]:[ID]])</f>
        <v>46275+DIR-F760DE591AE7</v>
      </c>
      <c r="F433" s="5"/>
      <c r="G433" s="5" t="s">
        <v>2069</v>
      </c>
      <c r="H433" s="20" t="s">
        <v>2070</v>
      </c>
      <c r="I433" s="5" t="s">
        <v>80</v>
      </c>
      <c r="J433" s="4" t="s">
        <v>30</v>
      </c>
      <c r="K433" s="4" t="str" cm="1">
        <f t="array" ref="K43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11. Ngân sách, Chi phí và Thẩm quyền Tài chính</v>
      </c>
      <c r="L433" s="4" t="s">
        <v>532</v>
      </c>
      <c r="M433" s="4" t="s">
        <v>556</v>
      </c>
      <c r="N433" s="4" t="s">
        <v>1717</v>
      </c>
      <c r="O433" s="4" t="s">
        <v>71</v>
      </c>
      <c r="P433" s="6">
        <v>46235</v>
      </c>
      <c r="Q433" s="6">
        <v>46235</v>
      </c>
      <c r="R433" s="5">
        <v>1</v>
      </c>
      <c r="S433" s="5" t="s">
        <v>557</v>
      </c>
      <c r="T433" s="13">
        <v>46249</v>
      </c>
      <c r="U433" s="13">
        <v>46249</v>
      </c>
      <c r="V433" s="5">
        <v>0</v>
      </c>
      <c r="W433" s="22">
        <f>_xlfn.LET(
_xlpm.H,Table1[[#This Row],[Thời hạn mới nhất (Date)]],
_xlpm.S,Table1[[#This Row],[Snapshot]],
IF(
    ISNUMBER(_xlpm.H),
    INT(_xlpm.H)-INT(_xlpm.S),
    "Không giao thời hạn"
))</f>
        <v>-26</v>
      </c>
      <c r="X433" s="4" t="s">
        <v>558</v>
      </c>
      <c r="Y433" s="5"/>
      <c r="Z433" s="5" t="s">
        <v>35</v>
      </c>
      <c r="AA433" s="5"/>
      <c r="AB433" s="4"/>
      <c r="AC433" s="6"/>
      <c r="AD433" s="6"/>
      <c r="AE433" s="4">
        <v>0</v>
      </c>
      <c r="AF433" s="26" t="str">
        <f>_xlfn.LET(
_xlpm.H,Table1[[#This Row],[Thời hạn mới nhất (Date)]],
_xlpm.D,Table1[[#This Row],[Dự kiến mới nhất (Date)]],
IF(
NOT(ISNUMBER(_xlpm.H)),"Không giao thời hạn",
IF(
NOT(ISNUMBER(_xlpm.D)),"Chưa có dự kiến",
_xlpm.D-_xlpm.H
)))</f>
        <v>Chưa có dự kiến</v>
      </c>
    </row>
    <row r="434" spans="1:32" ht="204" x14ac:dyDescent="0.4">
      <c r="A434" s="44">
        <v>46282</v>
      </c>
      <c r="B434" s="4" t="s">
        <v>140</v>
      </c>
      <c r="C434" s="5" t="s">
        <v>44</v>
      </c>
      <c r="D434" s="5">
        <v>36</v>
      </c>
      <c r="E434" s="5" t="str">
        <f>_xlfn.TEXTJOIN("+",TRUE,Table1[[#This Row],[Snapshot]:[ID]])</f>
        <v>46282+DIR-F8EA4A20027F</v>
      </c>
      <c r="F434" s="5"/>
      <c r="G434" s="5" t="s">
        <v>1299</v>
      </c>
      <c r="H434" s="20" t="s">
        <v>1299</v>
      </c>
      <c r="I434" s="5" t="s">
        <v>163</v>
      </c>
      <c r="J434" s="4" t="s">
        <v>30</v>
      </c>
      <c r="K434" s="4" t="str" cm="1">
        <f t="array" ref="K43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434" s="4" t="s">
        <v>44</v>
      </c>
      <c r="M434" s="4" t="s">
        <v>142</v>
      </c>
      <c r="N434" s="4" t="s">
        <v>1716</v>
      </c>
      <c r="O434" s="4" t="s">
        <v>143</v>
      </c>
      <c r="P434" s="6">
        <v>46186</v>
      </c>
      <c r="Q434" s="6">
        <v>46186</v>
      </c>
      <c r="R434" s="5">
        <v>1</v>
      </c>
      <c r="S434" s="5" t="s">
        <v>144</v>
      </c>
      <c r="T434" s="13">
        <v>46203</v>
      </c>
      <c r="U434" s="13">
        <v>46203</v>
      </c>
      <c r="V434" s="5">
        <v>0</v>
      </c>
      <c r="W434" s="22">
        <f>_xlfn.LET(
_xlpm.H,Table1[[#This Row],[Thời hạn mới nhất (Date)]],
_xlpm.S,Table1[[#This Row],[Snapshot]],
IF(
    ISNUMBER(_xlpm.H),
    INT(_xlpm.H)-INT(_xlpm.S),
    "Không giao thời hạn"
))</f>
        <v>-79</v>
      </c>
      <c r="X434" s="4" t="s">
        <v>145</v>
      </c>
      <c r="Y434" s="5"/>
      <c r="Z434" s="5"/>
      <c r="AA434" s="5" t="s">
        <v>35</v>
      </c>
      <c r="AB434" s="4" t="s">
        <v>50</v>
      </c>
      <c r="AC434" s="6"/>
      <c r="AD434" s="6"/>
      <c r="AE434" s="4">
        <v>0</v>
      </c>
      <c r="AF434" s="26" t="str">
        <f>_xlfn.LET(
_xlpm.H,Table1[[#This Row],[Thời hạn mới nhất (Date)]],
_xlpm.D,Table1[[#This Row],[Dự kiến mới nhất (Date)]],
IF(
NOT(ISNUMBER(_xlpm.H)),"Không giao thời hạn",
IF(
NOT(ISNUMBER(_xlpm.D)),"Chưa có dự kiến",
_xlpm.D-_xlpm.H
)))</f>
        <v>Chưa có dự kiến</v>
      </c>
    </row>
    <row r="435" spans="1:32" ht="204" x14ac:dyDescent="0.4">
      <c r="A435" s="44">
        <v>46275</v>
      </c>
      <c r="B435" s="4" t="s">
        <v>140</v>
      </c>
      <c r="C435" s="5" t="s">
        <v>44</v>
      </c>
      <c r="D435" s="5">
        <v>32</v>
      </c>
      <c r="E435" s="5" t="str">
        <f>_xlfn.TEXTJOIN("+",TRUE,Table1[[#This Row],[Snapshot]:[ID]])</f>
        <v>46275+DIR-F8EA4A20027F</v>
      </c>
      <c r="F435" s="5"/>
      <c r="G435" s="5" t="s">
        <v>1299</v>
      </c>
      <c r="H435" s="20" t="s">
        <v>1299</v>
      </c>
      <c r="I435" s="5" t="s">
        <v>141</v>
      </c>
      <c r="J435" s="4" t="s">
        <v>30</v>
      </c>
      <c r="K435" s="4" t="str" cm="1">
        <f t="array" ref="K43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04. An ninh Công nghệ, eKYC và Phòng chống Gian lận</v>
      </c>
      <c r="L435" s="4" t="s">
        <v>44</v>
      </c>
      <c r="M435" s="4" t="s">
        <v>142</v>
      </c>
      <c r="N435" s="4" t="s">
        <v>1716</v>
      </c>
      <c r="O435" s="4" t="s">
        <v>143</v>
      </c>
      <c r="P435" s="6">
        <v>46186</v>
      </c>
      <c r="Q435" s="6">
        <v>46186</v>
      </c>
      <c r="R435" s="5">
        <v>1</v>
      </c>
      <c r="S435" s="5" t="s">
        <v>144</v>
      </c>
      <c r="T435" s="13">
        <v>46203</v>
      </c>
      <c r="U435" s="13">
        <v>46203</v>
      </c>
      <c r="V435" s="5">
        <v>0</v>
      </c>
      <c r="W435" s="22">
        <f>_xlfn.LET(
_xlpm.H,Table1[[#This Row],[Thời hạn mới nhất (Date)]],
_xlpm.S,Table1[[#This Row],[Snapshot]],
IF(
    ISNUMBER(_xlpm.H),
    INT(_xlpm.H)-INT(_xlpm.S),
    "Không giao thời hạn"
))</f>
        <v>-72</v>
      </c>
      <c r="X435" s="4" t="s">
        <v>145</v>
      </c>
      <c r="Y435" s="5"/>
      <c r="Z435" s="5"/>
      <c r="AA435" s="5" t="s">
        <v>35</v>
      </c>
      <c r="AB435" s="4" t="s">
        <v>50</v>
      </c>
      <c r="AC435" s="6"/>
      <c r="AD435" s="6"/>
      <c r="AE435" s="4">
        <v>0</v>
      </c>
      <c r="AF435" s="26" t="str">
        <f>_xlfn.LET(
_xlpm.H,Table1[[#This Row],[Thời hạn mới nhất (Date)]],
_xlpm.D,Table1[[#This Row],[Dự kiến mới nhất (Date)]],
IF(
NOT(ISNUMBER(_xlpm.H)),"Không giao thời hạn",
IF(
NOT(ISNUMBER(_xlpm.D)),"Chưa có dự kiến",
_xlpm.D-_xlpm.H
)))</f>
        <v>Chưa có dự kiến</v>
      </c>
    </row>
    <row r="436" spans="1:32" ht="131.15" x14ac:dyDescent="0.4">
      <c r="A436" s="44">
        <v>46282</v>
      </c>
      <c r="B436" s="4" t="s">
        <v>559</v>
      </c>
      <c r="C436" s="5" t="s">
        <v>532</v>
      </c>
      <c r="D436" s="5">
        <v>20</v>
      </c>
      <c r="E436" s="5" t="str">
        <f>_xlfn.TEXTJOIN("+",TRUE,Table1[[#This Row],[Snapshot]:[ID]])</f>
        <v>46282+DIR-F8F201D69137</v>
      </c>
      <c r="F436" s="5"/>
      <c r="G436" s="5" t="s">
        <v>2071</v>
      </c>
      <c r="H436" s="20" t="s">
        <v>2072</v>
      </c>
      <c r="I436" s="5" t="s">
        <v>85</v>
      </c>
      <c r="J436" s="4" t="s">
        <v>30</v>
      </c>
      <c r="K436" s="4" t="str" cm="1">
        <f t="array" ref="K43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11. Ngân sách, Chi phí và Thẩm quyền Tài chính</v>
      </c>
      <c r="L436" s="4" t="s">
        <v>532</v>
      </c>
      <c r="M436" s="4" t="s">
        <v>560</v>
      </c>
      <c r="N436" s="4" t="s">
        <v>1717</v>
      </c>
      <c r="O436" s="4" t="s">
        <v>32</v>
      </c>
      <c r="P436" s="6">
        <v>46242</v>
      </c>
      <c r="Q436" s="6">
        <v>46242</v>
      </c>
      <c r="R436" s="5">
        <v>1</v>
      </c>
      <c r="S436" s="5" t="s">
        <v>561</v>
      </c>
      <c r="T436" s="13">
        <v>46265</v>
      </c>
      <c r="U436" s="13">
        <v>46265</v>
      </c>
      <c r="V436" s="5">
        <v>0</v>
      </c>
      <c r="W436" s="22">
        <f>_xlfn.LET(
_xlpm.H,Table1[[#This Row],[Thời hạn mới nhất (Date)]],
_xlpm.S,Table1[[#This Row],[Snapshot]],
IF(
    ISNUMBER(_xlpm.H),
    INT(_xlpm.H)-INT(_xlpm.S),
    "Không giao thời hạn"
))</f>
        <v>-17</v>
      </c>
      <c r="X436" s="4" t="s">
        <v>948</v>
      </c>
      <c r="Y436" s="5"/>
      <c r="Z436" s="5" t="s">
        <v>35</v>
      </c>
      <c r="AA436" s="5"/>
      <c r="AB436" s="4"/>
      <c r="AC436" s="6"/>
      <c r="AD436" s="6"/>
      <c r="AE436" s="4">
        <v>0</v>
      </c>
      <c r="AF436" s="26" t="str">
        <f>_xlfn.LET(
_xlpm.H,Table1[[#This Row],[Thời hạn mới nhất (Date)]],
_xlpm.D,Table1[[#This Row],[Dự kiến mới nhất (Date)]],
IF(
NOT(ISNUMBER(_xlpm.H)),"Không giao thời hạn",
IF(
NOT(ISNUMBER(_xlpm.D)),"Chưa có dự kiến",
_xlpm.D-_xlpm.H
)))</f>
        <v>Chưa có dự kiến</v>
      </c>
    </row>
    <row r="437" spans="1:32" ht="160.30000000000001" x14ac:dyDescent="0.4">
      <c r="A437" s="44">
        <v>46275</v>
      </c>
      <c r="B437" s="4" t="s">
        <v>559</v>
      </c>
      <c r="C437" s="5" t="s">
        <v>532</v>
      </c>
      <c r="D437" s="5">
        <v>20</v>
      </c>
      <c r="E437" s="5" t="str">
        <f>_xlfn.TEXTJOIN("+",TRUE,Table1[[#This Row],[Snapshot]:[ID]])</f>
        <v>46275+DIR-F8F201D69137</v>
      </c>
      <c r="F437" s="5"/>
      <c r="G437" s="5" t="s">
        <v>2073</v>
      </c>
      <c r="H437" s="20" t="s">
        <v>2074</v>
      </c>
      <c r="I437" s="5" t="s">
        <v>85</v>
      </c>
      <c r="J437" s="4" t="s">
        <v>30</v>
      </c>
      <c r="K437" s="4" t="str" cm="1">
        <f t="array" ref="K43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11. Ngân sách, Chi phí và Thẩm quyền Tài chính</v>
      </c>
      <c r="L437" s="4" t="s">
        <v>532</v>
      </c>
      <c r="M437" s="4" t="s">
        <v>560</v>
      </c>
      <c r="N437" s="4" t="s">
        <v>1717</v>
      </c>
      <c r="O437" s="4" t="s">
        <v>32</v>
      </c>
      <c r="P437" s="6">
        <v>46242</v>
      </c>
      <c r="Q437" s="6">
        <v>46242</v>
      </c>
      <c r="R437" s="5">
        <v>1</v>
      </c>
      <c r="S437" s="5" t="s">
        <v>561</v>
      </c>
      <c r="T437" s="13">
        <v>46265</v>
      </c>
      <c r="U437" s="13">
        <v>46265</v>
      </c>
      <c r="V437" s="5">
        <v>0</v>
      </c>
      <c r="W437" s="22">
        <f>_xlfn.LET(
_xlpm.H,Table1[[#This Row],[Thời hạn mới nhất (Date)]],
_xlpm.S,Table1[[#This Row],[Snapshot]],
IF(
    ISNUMBER(_xlpm.H),
    INT(_xlpm.H)-INT(_xlpm.S),
    "Không giao thời hạn"
))</f>
        <v>-10</v>
      </c>
      <c r="X437" s="4" t="s">
        <v>562</v>
      </c>
      <c r="Y437" s="5"/>
      <c r="Z437" s="5" t="s">
        <v>35</v>
      </c>
      <c r="AA437" s="5"/>
      <c r="AB437" s="4"/>
      <c r="AC437" s="6"/>
      <c r="AD437" s="6"/>
      <c r="AE437" s="4">
        <v>0</v>
      </c>
      <c r="AF437" s="26" t="str">
        <f>_xlfn.LET(
_xlpm.H,Table1[[#This Row],[Thời hạn mới nhất (Date)]],
_xlpm.D,Table1[[#This Row],[Dự kiến mới nhất (Date)]],
IF(
NOT(ISNUMBER(_xlpm.H)),"Không giao thời hạn",
IF(
NOT(ISNUMBER(_xlpm.D)),"Chưa có dự kiến",
_xlpm.D-_xlpm.H
)))</f>
        <v>Chưa có dự kiến</v>
      </c>
    </row>
    <row r="438" spans="1:32" ht="189.45" x14ac:dyDescent="0.4">
      <c r="A438" s="44">
        <v>46282</v>
      </c>
      <c r="B438" s="4" t="s">
        <v>62</v>
      </c>
      <c r="C438" s="5" t="s">
        <v>44</v>
      </c>
      <c r="D438" s="5">
        <v>16</v>
      </c>
      <c r="E438" s="5" t="str">
        <f>_xlfn.TEXTJOIN("+",TRUE,Table1[[#This Row],[Snapshot]:[ID]])</f>
        <v>46282+DIR-F9E630F64752</v>
      </c>
      <c r="F438" s="5"/>
      <c r="G438" s="5" t="s">
        <v>1466</v>
      </c>
      <c r="H438" s="20" t="s">
        <v>1467</v>
      </c>
      <c r="I438" s="5" t="s">
        <v>63</v>
      </c>
      <c r="J438" s="4" t="s">
        <v>30</v>
      </c>
      <c r="K438" s="4" t="str" cm="1">
        <f t="array" ref="K43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438" s="4" t="s">
        <v>44</v>
      </c>
      <c r="M438" s="4" t="s">
        <v>64</v>
      </c>
      <c r="N438" s="4" t="s">
        <v>1703</v>
      </c>
      <c r="O438" s="4" t="s">
        <v>65</v>
      </c>
      <c r="P438" s="6">
        <v>46216</v>
      </c>
      <c r="Q438" s="6">
        <v>46216</v>
      </c>
      <c r="R438" s="5">
        <v>1</v>
      </c>
      <c r="S438" s="5" t="s">
        <v>66</v>
      </c>
      <c r="T438" s="13">
        <v>46228</v>
      </c>
      <c r="U438" s="13">
        <v>46228</v>
      </c>
      <c r="V438" s="5">
        <v>0</v>
      </c>
      <c r="W438" s="22">
        <f>_xlfn.LET(
_xlpm.H,Table1[[#This Row],[Thời hạn mới nhất (Date)]],
_xlpm.S,Table1[[#This Row],[Snapshot]],
IF(
    ISNUMBER(_xlpm.H),
    INT(_xlpm.H)-INT(_xlpm.S),
    "Không giao thời hạn"
))</f>
        <v>-54</v>
      </c>
      <c r="X438" s="4" t="s">
        <v>67</v>
      </c>
      <c r="Y438" s="5"/>
      <c r="Z438" s="5" t="s">
        <v>35</v>
      </c>
      <c r="AA438" s="5"/>
      <c r="AB438" s="4"/>
      <c r="AC438" s="6"/>
      <c r="AD438" s="6"/>
      <c r="AE438" s="4">
        <v>0</v>
      </c>
      <c r="AF438" s="26" t="str">
        <f>_xlfn.LET(
_xlpm.H,Table1[[#This Row],[Thời hạn mới nhất (Date)]],
_xlpm.D,Table1[[#This Row],[Dự kiến mới nhất (Date)]],
IF(
NOT(ISNUMBER(_xlpm.H)),"Không giao thời hạn",
IF(
NOT(ISNUMBER(_xlpm.D)),"Chưa có dự kiến",
_xlpm.D-_xlpm.H
)))</f>
        <v>Chưa có dự kiến</v>
      </c>
    </row>
    <row r="439" spans="1:32" ht="189.45" x14ac:dyDescent="0.4">
      <c r="A439" s="44">
        <v>46275</v>
      </c>
      <c r="B439" s="4" t="s">
        <v>62</v>
      </c>
      <c r="C439" s="5" t="s">
        <v>44</v>
      </c>
      <c r="D439" s="5">
        <v>16</v>
      </c>
      <c r="E439" s="5" t="str">
        <f>_xlfn.TEXTJOIN("+",TRUE,Table1[[#This Row],[Snapshot]:[ID]])</f>
        <v>46275+DIR-F9E630F64752</v>
      </c>
      <c r="F439" s="5"/>
      <c r="G439" s="5" t="s">
        <v>1468</v>
      </c>
      <c r="H439" s="20" t="s">
        <v>1469</v>
      </c>
      <c r="I439" s="5" t="s">
        <v>63</v>
      </c>
      <c r="J439" s="4" t="s">
        <v>30</v>
      </c>
      <c r="K439" s="4" t="str" cm="1">
        <f t="array" ref="K439">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439" s="4" t="s">
        <v>44</v>
      </c>
      <c r="M439" s="4" t="s">
        <v>64</v>
      </c>
      <c r="N439" s="4" t="s">
        <v>1703</v>
      </c>
      <c r="O439" s="4" t="s">
        <v>65</v>
      </c>
      <c r="P439" s="6">
        <v>46216</v>
      </c>
      <c r="Q439" s="6">
        <v>46216</v>
      </c>
      <c r="R439" s="5">
        <v>1</v>
      </c>
      <c r="S439" s="5" t="s">
        <v>66</v>
      </c>
      <c r="T439" s="13">
        <v>46228</v>
      </c>
      <c r="U439" s="13">
        <v>46228</v>
      </c>
      <c r="V439" s="5">
        <v>0</v>
      </c>
      <c r="W439" s="22">
        <f>_xlfn.LET(
_xlpm.H,Table1[[#This Row],[Thời hạn mới nhất (Date)]],
_xlpm.S,Table1[[#This Row],[Snapshot]],
IF(
    ISNUMBER(_xlpm.H),
    INT(_xlpm.H)-INT(_xlpm.S),
    "Không giao thời hạn"
))</f>
        <v>-47</v>
      </c>
      <c r="X439" s="4" t="s">
        <v>67</v>
      </c>
      <c r="Y439" s="5"/>
      <c r="Z439" s="5" t="s">
        <v>35</v>
      </c>
      <c r="AA439" s="5"/>
      <c r="AB439" s="4"/>
      <c r="AC439" s="6"/>
      <c r="AD439" s="6"/>
      <c r="AE439" s="4">
        <v>0</v>
      </c>
      <c r="AF439" s="26" t="str">
        <f>_xlfn.LET(
_xlpm.H,Table1[[#This Row],[Thời hạn mới nhất (Date)]],
_xlpm.D,Table1[[#This Row],[Dự kiến mới nhất (Date)]],
IF(
NOT(ISNUMBER(_xlpm.H)),"Không giao thời hạn",
IF(
NOT(ISNUMBER(_xlpm.D)),"Chưa có dự kiến",
_xlpm.D-_xlpm.H
)))</f>
        <v>Chưa có dự kiến</v>
      </c>
    </row>
    <row r="440" spans="1:32" ht="131.15" x14ac:dyDescent="0.4">
      <c r="A440" s="44">
        <v>46282</v>
      </c>
      <c r="B440" s="4" t="s">
        <v>129</v>
      </c>
      <c r="C440" s="5" t="s">
        <v>44</v>
      </c>
      <c r="D440" s="5">
        <v>34</v>
      </c>
      <c r="E440" s="5" t="str">
        <f>_xlfn.TEXTJOIN("+",TRUE,Table1[[#This Row],[Snapshot]:[ID]])</f>
        <v>46282+DIR-FA5A518CFE06</v>
      </c>
      <c r="F440" s="5"/>
      <c r="G440" s="5" t="s">
        <v>1299</v>
      </c>
      <c r="H440" s="20" t="s">
        <v>1299</v>
      </c>
      <c r="I440" s="5" t="s">
        <v>152</v>
      </c>
      <c r="J440" s="4" t="s">
        <v>30</v>
      </c>
      <c r="K440" s="4" t="str" cm="1">
        <f t="array" ref="K440">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02. Danh mục Dự án Công nghệ và Nguồn lực CNTT</v>
      </c>
      <c r="L440" s="4" t="s">
        <v>44</v>
      </c>
      <c r="M440" s="4" t="s">
        <v>131</v>
      </c>
      <c r="N440" s="4" t="s">
        <v>1732</v>
      </c>
      <c r="O440" s="4" t="s">
        <v>132</v>
      </c>
      <c r="P440" s="6">
        <v>46174</v>
      </c>
      <c r="Q440" s="6">
        <v>46174</v>
      </c>
      <c r="R440" s="5">
        <v>1</v>
      </c>
      <c r="S440" s="5"/>
      <c r="T440" s="13"/>
      <c r="U440" s="13"/>
      <c r="V440" s="5">
        <v>0</v>
      </c>
      <c r="W440" s="22" t="str">
        <f>_xlfn.LET(
_xlpm.H,Table1[[#This Row],[Thời hạn mới nhất (Date)]],
_xlpm.S,Table1[[#This Row],[Snapshot]],
IF(
    ISNUMBER(_xlpm.H),
    INT(_xlpm.H)-INT(_xlpm.S),
    "Không giao thời hạn"
))</f>
        <v>Không giao thời hạn</v>
      </c>
      <c r="X440" s="4" t="s">
        <v>915</v>
      </c>
      <c r="Y440" s="5"/>
      <c r="Z440" s="5" t="s">
        <v>35</v>
      </c>
      <c r="AA440" s="5"/>
      <c r="AB440" s="4" t="s">
        <v>50</v>
      </c>
      <c r="AC440" s="6"/>
      <c r="AD440" s="6"/>
      <c r="AE440" s="4">
        <v>0</v>
      </c>
      <c r="AF440" s="26" t="str">
        <f>_xlfn.LET(
_xlpm.H,Table1[[#This Row],[Thời hạn mới nhất (Date)]],
_xlpm.D,Table1[[#This Row],[Dự kiến mới nhất (Date)]],
IF(
NOT(ISNUMBER(_xlpm.H)),"Không giao thời hạn",
IF(
NOT(ISNUMBER(_xlpm.D)),"Chưa có dự kiến",
_xlpm.D-_xlpm.H
)))</f>
        <v>Không giao thời hạn</v>
      </c>
    </row>
    <row r="441" spans="1:32" ht="131.15" x14ac:dyDescent="0.4">
      <c r="A441" s="44">
        <v>46275</v>
      </c>
      <c r="B441" s="4" t="s">
        <v>129</v>
      </c>
      <c r="C441" s="5" t="s">
        <v>44</v>
      </c>
      <c r="D441" s="5">
        <v>30</v>
      </c>
      <c r="E441" s="5" t="str">
        <f>_xlfn.TEXTJOIN("+",TRUE,Table1[[#This Row],[Snapshot]:[ID]])</f>
        <v>46275+DIR-FA5A518CFE06</v>
      </c>
      <c r="F441" s="5"/>
      <c r="G441" s="5" t="s">
        <v>1299</v>
      </c>
      <c r="H441" s="20" t="s">
        <v>1299</v>
      </c>
      <c r="I441" s="5" t="s">
        <v>130</v>
      </c>
      <c r="J441" s="4" t="s">
        <v>30</v>
      </c>
      <c r="K441" s="4" t="str" cm="1">
        <f t="array" ref="K441">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02. Danh mục Dự án Công nghệ và Nguồn lực CNTT</v>
      </c>
      <c r="L441" s="4" t="s">
        <v>44</v>
      </c>
      <c r="M441" s="4" t="s">
        <v>131</v>
      </c>
      <c r="N441" s="4" t="s">
        <v>1732</v>
      </c>
      <c r="O441" s="4" t="s">
        <v>132</v>
      </c>
      <c r="P441" s="6">
        <v>46174</v>
      </c>
      <c r="Q441" s="6">
        <v>46174</v>
      </c>
      <c r="R441" s="5">
        <v>1</v>
      </c>
      <c r="S441" s="5"/>
      <c r="T441" s="13"/>
      <c r="U441" s="13"/>
      <c r="V441" s="5">
        <v>0</v>
      </c>
      <c r="W441" s="22" t="str">
        <f>_xlfn.LET(
_xlpm.H,Table1[[#This Row],[Thời hạn mới nhất (Date)]],
_xlpm.S,Table1[[#This Row],[Snapshot]],
IF(
    ISNUMBER(_xlpm.H),
    INT(_xlpm.H)-INT(_xlpm.S),
    "Không giao thời hạn"
))</f>
        <v>Không giao thời hạn</v>
      </c>
      <c r="X441" s="4" t="s">
        <v>133</v>
      </c>
      <c r="Y441" s="5"/>
      <c r="Z441" s="5" t="s">
        <v>35</v>
      </c>
      <c r="AA441" s="5"/>
      <c r="AB441" s="4" t="s">
        <v>50</v>
      </c>
      <c r="AC441" s="6"/>
      <c r="AD441" s="6"/>
      <c r="AE441" s="4">
        <v>0</v>
      </c>
      <c r="AF441" s="26" t="str">
        <f>_xlfn.LET(
_xlpm.H,Table1[[#This Row],[Thời hạn mới nhất (Date)]],
_xlpm.D,Table1[[#This Row],[Dự kiến mới nhất (Date)]],
IF(
NOT(ISNUMBER(_xlpm.H)),"Không giao thời hạn",
IF(
NOT(ISNUMBER(_xlpm.D)),"Chưa có dự kiến",
_xlpm.D-_xlpm.H
)))</f>
        <v>Không giao thời hạn</v>
      </c>
    </row>
    <row r="442" spans="1:32" ht="145.75" x14ac:dyDescent="0.4">
      <c r="A442" s="44">
        <v>46282</v>
      </c>
      <c r="B442" s="4" t="s">
        <v>924</v>
      </c>
      <c r="C442" s="5" t="s">
        <v>297</v>
      </c>
      <c r="D442" s="5">
        <v>25</v>
      </c>
      <c r="E442" s="5" t="str">
        <f>_xlfn.TEXTJOIN("+",TRUE,Table1[[#This Row],[Snapshot]:[ID]])</f>
        <v>46282+DIR-FB405F1BA258</v>
      </c>
      <c r="F442" s="5"/>
      <c r="G442" s="20" t="s">
        <v>1297</v>
      </c>
      <c r="H442" s="20" t="s">
        <v>1298</v>
      </c>
      <c r="I442" s="5" t="s">
        <v>106</v>
      </c>
      <c r="J442" s="4" t="s">
        <v>30</v>
      </c>
      <c r="K442" s="4" t="str" cm="1">
        <f t="array" ref="K442">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01. Core T24 và Chuyển đổi Core Banking</v>
      </c>
      <c r="L442" s="4" t="s">
        <v>297</v>
      </c>
      <c r="M442" s="4" t="s">
        <v>925</v>
      </c>
      <c r="N442" s="4" t="s">
        <v>1724</v>
      </c>
      <c r="O442" s="4" t="s">
        <v>906</v>
      </c>
      <c r="P442" s="6">
        <v>46277</v>
      </c>
      <c r="Q442" s="6">
        <v>46277</v>
      </c>
      <c r="R442" s="5">
        <v>1</v>
      </c>
      <c r="S442" s="5" t="s">
        <v>926</v>
      </c>
      <c r="T442" s="13">
        <v>46295</v>
      </c>
      <c r="U442" s="13">
        <v>46295</v>
      </c>
      <c r="V442" s="5">
        <v>0</v>
      </c>
      <c r="W442" s="22">
        <f>_xlfn.LET(
_xlpm.H,Table1[[#This Row],[Thời hạn mới nhất (Date)]],
_xlpm.S,Table1[[#This Row],[Snapshot]],
IF(
    ISNUMBER(_xlpm.H),
    INT(_xlpm.H)-INT(_xlpm.S),
    "Không giao thời hạn"
))</f>
        <v>13</v>
      </c>
      <c r="X442" s="4" t="s">
        <v>923</v>
      </c>
      <c r="Y442" s="5"/>
      <c r="Z442" s="5" t="s">
        <v>35</v>
      </c>
      <c r="AA442" s="5"/>
      <c r="AB442" s="4" t="s">
        <v>334</v>
      </c>
      <c r="AC442" s="6">
        <v>46387</v>
      </c>
      <c r="AD442" s="6">
        <v>46387</v>
      </c>
      <c r="AE442" s="4">
        <v>0</v>
      </c>
      <c r="AF442" s="26">
        <f>_xlfn.LET(
_xlpm.H,Table1[[#This Row],[Thời hạn mới nhất (Date)]],
_xlpm.D,Table1[[#This Row],[Dự kiến mới nhất (Date)]],
IF(
NOT(ISNUMBER(_xlpm.H)),"Không giao thời hạn",
IF(
NOT(ISNUMBER(_xlpm.D)),"Chưa có dự kiến",
_xlpm.D-_xlpm.H
)))</f>
        <v>92</v>
      </c>
    </row>
    <row r="443" spans="1:32" ht="174.9" x14ac:dyDescent="0.4">
      <c r="A443" s="44">
        <v>46282</v>
      </c>
      <c r="B443" s="4" t="s">
        <v>706</v>
      </c>
      <c r="C443" s="5" t="s">
        <v>688</v>
      </c>
      <c r="D443" s="5">
        <v>23</v>
      </c>
      <c r="E443" s="5" t="str">
        <f>_xlfn.TEXTJOIN("+",TRUE,Table1[[#This Row],[Snapshot]:[ID]])</f>
        <v>46282+DIR-FC465C4F1C7A</v>
      </c>
      <c r="F443" s="5"/>
      <c r="G443" s="5" t="s">
        <v>1654</v>
      </c>
      <c r="H443" s="20" t="s">
        <v>1655</v>
      </c>
      <c r="I443" s="5" t="s">
        <v>75</v>
      </c>
      <c r="J443" s="4" t="s">
        <v>689</v>
      </c>
      <c r="K443" s="4" t="str" cm="1">
        <f t="array" ref="K443">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13. Tái cơ cấu và Chuyển giao Bắt buộc</v>
      </c>
      <c r="L443" s="4" t="s">
        <v>688</v>
      </c>
      <c r="M443" s="4" t="s">
        <v>574</v>
      </c>
      <c r="N443" s="4" t="s">
        <v>1696</v>
      </c>
      <c r="O443" s="4" t="s">
        <v>149</v>
      </c>
      <c r="P443" s="6">
        <v>46195</v>
      </c>
      <c r="Q443" s="6">
        <v>46195</v>
      </c>
      <c r="R443" s="5">
        <v>1</v>
      </c>
      <c r="S443" s="5" t="s">
        <v>431</v>
      </c>
      <c r="T443" s="13">
        <v>46203</v>
      </c>
      <c r="U443" s="13">
        <v>46203</v>
      </c>
      <c r="V443" s="5">
        <v>0</v>
      </c>
      <c r="W443" s="22">
        <f>_xlfn.LET(
_xlpm.H,Table1[[#This Row],[Thời hạn mới nhất (Date)]],
_xlpm.S,Table1[[#This Row],[Snapshot]],
IF(
    ISNUMBER(_xlpm.H),
    INT(_xlpm.H)-INT(_xlpm.S),
    "Không giao thời hạn"
))</f>
        <v>-79</v>
      </c>
      <c r="X443" s="4" t="s">
        <v>707</v>
      </c>
      <c r="Y443" s="5"/>
      <c r="Z443" s="5" t="s">
        <v>35</v>
      </c>
      <c r="AA443" s="5"/>
      <c r="AB443" s="4" t="s">
        <v>708</v>
      </c>
      <c r="AC443" s="6">
        <v>46316</v>
      </c>
      <c r="AD443" s="6">
        <v>46316</v>
      </c>
      <c r="AE443" s="4">
        <v>0</v>
      </c>
      <c r="AF443" s="26">
        <f>_xlfn.LET(
_xlpm.H,Table1[[#This Row],[Thời hạn mới nhất (Date)]],
_xlpm.D,Table1[[#This Row],[Dự kiến mới nhất (Date)]],
IF(
NOT(ISNUMBER(_xlpm.H)),"Không giao thời hạn",
IF(
NOT(ISNUMBER(_xlpm.D)),"Chưa có dự kiến",
_xlpm.D-_xlpm.H
)))</f>
        <v>113</v>
      </c>
    </row>
    <row r="444" spans="1:32" ht="131.15" x14ac:dyDescent="0.4">
      <c r="A444" s="44">
        <v>46275</v>
      </c>
      <c r="B444" s="4" t="s">
        <v>706</v>
      </c>
      <c r="C444" s="5" t="s">
        <v>688</v>
      </c>
      <c r="D444" s="5">
        <v>23</v>
      </c>
      <c r="E444" s="5" t="str">
        <f>_xlfn.TEXTJOIN("+",TRUE,Table1[[#This Row],[Snapshot]:[ID]])</f>
        <v>46275+DIR-FC465C4F1C7A</v>
      </c>
      <c r="F444" s="5"/>
      <c r="G444" s="5" t="s">
        <v>1656</v>
      </c>
      <c r="H444" s="20" t="s">
        <v>1657</v>
      </c>
      <c r="I444" s="5" t="s">
        <v>75</v>
      </c>
      <c r="J444" s="4" t="s">
        <v>689</v>
      </c>
      <c r="K444" s="4" t="str" cm="1">
        <f t="array" ref="K444">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13. Tái cơ cấu và Chuyển giao Bắt buộc</v>
      </c>
      <c r="L444" s="4" t="s">
        <v>688</v>
      </c>
      <c r="M444" s="4" t="s">
        <v>574</v>
      </c>
      <c r="N444" s="4" t="s">
        <v>1696</v>
      </c>
      <c r="O444" s="4" t="s">
        <v>149</v>
      </c>
      <c r="P444" s="6">
        <v>46195</v>
      </c>
      <c r="Q444" s="6">
        <v>46195</v>
      </c>
      <c r="R444" s="5">
        <v>1</v>
      </c>
      <c r="S444" s="5" t="s">
        <v>431</v>
      </c>
      <c r="T444" s="13">
        <v>46203</v>
      </c>
      <c r="U444" s="13">
        <v>46203</v>
      </c>
      <c r="V444" s="5">
        <v>0</v>
      </c>
      <c r="W444" s="22">
        <f>_xlfn.LET(
_xlpm.H,Table1[[#This Row],[Thời hạn mới nhất (Date)]],
_xlpm.S,Table1[[#This Row],[Snapshot]],
IF(
    ISNUMBER(_xlpm.H),
    INT(_xlpm.H)-INT(_xlpm.S),
    "Không giao thời hạn"
))</f>
        <v>-72</v>
      </c>
      <c r="X444" s="4" t="s">
        <v>707</v>
      </c>
      <c r="Y444" s="5"/>
      <c r="Z444" s="5" t="s">
        <v>35</v>
      </c>
      <c r="AA444" s="5"/>
      <c r="AB444" s="4" t="s">
        <v>708</v>
      </c>
      <c r="AC444" s="6">
        <v>46316</v>
      </c>
      <c r="AD444" s="6">
        <v>46316</v>
      </c>
      <c r="AE444" s="4">
        <v>0</v>
      </c>
      <c r="AF444" s="26">
        <f>_xlfn.LET(
_xlpm.H,Table1[[#This Row],[Thời hạn mới nhất (Date)]],
_xlpm.D,Table1[[#This Row],[Dự kiến mới nhất (Date)]],
IF(
NOT(ISNUMBER(_xlpm.H)),"Không giao thời hạn",
IF(
NOT(ISNUMBER(_xlpm.D)),"Chưa có dự kiến",
_xlpm.D-_xlpm.H
)))</f>
        <v>113</v>
      </c>
    </row>
    <row r="445" spans="1:32" ht="247.75" x14ac:dyDescent="0.4">
      <c r="A445" s="44">
        <v>46282</v>
      </c>
      <c r="B445" s="4" t="s">
        <v>755</v>
      </c>
      <c r="C445" s="5" t="s">
        <v>688</v>
      </c>
      <c r="D445" s="5">
        <v>38</v>
      </c>
      <c r="E445" s="5" t="str">
        <f>_xlfn.TEXTJOIN("+",TRUE,Table1[[#This Row],[Snapshot]:[ID]])</f>
        <v>46282+DIR-FDD8F039788D</v>
      </c>
      <c r="F445" s="5"/>
      <c r="G445" s="5" t="s">
        <v>2075</v>
      </c>
      <c r="H445" s="20" t="s">
        <v>2076</v>
      </c>
      <c r="I445" s="5" t="s">
        <v>147</v>
      </c>
      <c r="J445" s="4" t="s">
        <v>689</v>
      </c>
      <c r="K445" s="4" t="str" cm="1">
        <f t="array" ref="K445">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34. Sản phẩm Tín dụng Bán lẻ và Khách hàng Chuyên biệt</v>
      </c>
      <c r="L445" s="4" t="s">
        <v>688</v>
      </c>
      <c r="M445" s="4" t="s">
        <v>756</v>
      </c>
      <c r="N445" s="4" t="s">
        <v>1696</v>
      </c>
      <c r="O445" s="4" t="s">
        <v>71</v>
      </c>
      <c r="P445" s="6">
        <v>46235</v>
      </c>
      <c r="Q445" s="6">
        <v>46235</v>
      </c>
      <c r="R445" s="5">
        <v>1</v>
      </c>
      <c r="S445" s="5" t="s">
        <v>82</v>
      </c>
      <c r="T445" s="13">
        <v>46265</v>
      </c>
      <c r="U445" s="13">
        <v>46265</v>
      </c>
      <c r="V445" s="5">
        <v>0</v>
      </c>
      <c r="W445" s="22">
        <f>_xlfn.LET(
_xlpm.H,Table1[[#This Row],[Thời hạn mới nhất (Date)]],
_xlpm.S,Table1[[#This Row],[Snapshot]],
IF(
    ISNUMBER(_xlpm.H),
    INT(_xlpm.H)-INT(_xlpm.S),
    "Không giao thời hạn"
))</f>
        <v>-17</v>
      </c>
      <c r="X445" s="4" t="s">
        <v>974</v>
      </c>
      <c r="Y445" s="5"/>
      <c r="Z445" s="5" t="s">
        <v>35</v>
      </c>
      <c r="AA445" s="5"/>
      <c r="AB445" s="4" t="s">
        <v>975</v>
      </c>
      <c r="AC445" s="6">
        <v>46283</v>
      </c>
      <c r="AD445" s="6">
        <v>46288</v>
      </c>
      <c r="AE445" s="4">
        <v>1</v>
      </c>
      <c r="AF445" s="26">
        <f>_xlfn.LET(
_xlpm.H,Table1[[#This Row],[Thời hạn mới nhất (Date)]],
_xlpm.D,Table1[[#This Row],[Dự kiến mới nhất (Date)]],
IF(
NOT(ISNUMBER(_xlpm.H)),"Không giao thời hạn",
IF(
NOT(ISNUMBER(_xlpm.D)),"Chưa có dự kiến",
_xlpm.D-_xlpm.H
)))</f>
        <v>23</v>
      </c>
    </row>
    <row r="446" spans="1:32" ht="160.30000000000001" x14ac:dyDescent="0.4">
      <c r="A446" s="44">
        <v>46275</v>
      </c>
      <c r="B446" s="4" t="s">
        <v>755</v>
      </c>
      <c r="C446" s="5" t="s">
        <v>688</v>
      </c>
      <c r="D446" s="5">
        <v>38</v>
      </c>
      <c r="E446" s="5" t="str">
        <f>_xlfn.TEXTJOIN("+",TRUE,Table1[[#This Row],[Snapshot]:[ID]])</f>
        <v>46275+DIR-FDD8F039788D</v>
      </c>
      <c r="F446" s="5"/>
      <c r="G446" s="5" t="s">
        <v>2077</v>
      </c>
      <c r="H446" s="20" t="s">
        <v>2078</v>
      </c>
      <c r="I446" s="5" t="s">
        <v>147</v>
      </c>
      <c r="J446" s="4" t="s">
        <v>689</v>
      </c>
      <c r="K446" s="4" t="str" cm="1">
        <f t="array" ref="K446">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34. Sản phẩm Tín dụng Bán lẻ và Khách hàng Chuyên biệt</v>
      </c>
      <c r="L446" s="4" t="s">
        <v>688</v>
      </c>
      <c r="M446" s="4" t="s">
        <v>756</v>
      </c>
      <c r="N446" s="4" t="s">
        <v>1696</v>
      </c>
      <c r="O446" s="4" t="s">
        <v>71</v>
      </c>
      <c r="P446" s="6">
        <v>46235</v>
      </c>
      <c r="Q446" s="6">
        <v>46235</v>
      </c>
      <c r="R446" s="5">
        <v>1</v>
      </c>
      <c r="S446" s="5" t="s">
        <v>82</v>
      </c>
      <c r="T446" s="13">
        <v>46265</v>
      </c>
      <c r="U446" s="13">
        <v>46265</v>
      </c>
      <c r="V446" s="5">
        <v>0</v>
      </c>
      <c r="W446" s="22">
        <f>_xlfn.LET(
_xlpm.H,Table1[[#This Row],[Thời hạn mới nhất (Date)]],
_xlpm.S,Table1[[#This Row],[Snapshot]],
IF(
    ISNUMBER(_xlpm.H),
    INT(_xlpm.H)-INT(_xlpm.S),
    "Không giao thời hạn"
))</f>
        <v>-10</v>
      </c>
      <c r="X446" s="4" t="s">
        <v>757</v>
      </c>
      <c r="Y446" s="5"/>
      <c r="Z446" s="5" t="s">
        <v>35</v>
      </c>
      <c r="AA446" s="5"/>
      <c r="AB446" s="4" t="s">
        <v>758</v>
      </c>
      <c r="AC446" s="6">
        <v>46283</v>
      </c>
      <c r="AD446" s="6">
        <v>46283</v>
      </c>
      <c r="AE446" s="4">
        <v>0</v>
      </c>
      <c r="AF446" s="26">
        <f>_xlfn.LET(
_xlpm.H,Table1[[#This Row],[Thời hạn mới nhất (Date)]],
_xlpm.D,Table1[[#This Row],[Dự kiến mới nhất (Date)]],
IF(
NOT(ISNUMBER(_xlpm.H)),"Không giao thời hạn",
IF(
NOT(ISNUMBER(_xlpm.D)),"Chưa có dự kiến",
_xlpm.D-_xlpm.H
)))</f>
        <v>18</v>
      </c>
    </row>
    <row r="447" spans="1:32" ht="174.9" x14ac:dyDescent="0.4">
      <c r="A447" s="44">
        <v>46282</v>
      </c>
      <c r="B447" s="4" t="s">
        <v>211</v>
      </c>
      <c r="C447" s="5" t="s">
        <v>44</v>
      </c>
      <c r="D447" s="5">
        <v>48</v>
      </c>
      <c r="E447" s="5" t="str">
        <f>_xlfn.TEXTJOIN("+",TRUE,Table1[[#This Row],[Snapshot]:[ID]])</f>
        <v>46282+DIR-FE718CCF504B</v>
      </c>
      <c r="F447" s="5"/>
      <c r="G447" s="5" t="s">
        <v>1426</v>
      </c>
      <c r="H447" s="20" t="s">
        <v>1427</v>
      </c>
      <c r="I447" s="5" t="s">
        <v>63</v>
      </c>
      <c r="J447" s="4" t="s">
        <v>200</v>
      </c>
      <c r="K447" s="4" t="str" cm="1">
        <f t="array" ref="K447">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447" s="4" t="s">
        <v>44</v>
      </c>
      <c r="M447" s="4" t="s">
        <v>212</v>
      </c>
      <c r="N447" s="4" t="s">
        <v>1703</v>
      </c>
      <c r="O447" s="4" t="s">
        <v>213</v>
      </c>
      <c r="P447" s="6">
        <v>45962</v>
      </c>
      <c r="Q447" s="6">
        <v>45962</v>
      </c>
      <c r="R447" s="5">
        <v>1</v>
      </c>
      <c r="S447" s="5"/>
      <c r="T447" s="13"/>
      <c r="U447" s="13"/>
      <c r="V447" s="5">
        <v>0</v>
      </c>
      <c r="W447" s="22" t="str">
        <f>_xlfn.LET(
_xlpm.H,Table1[[#This Row],[Thời hạn mới nhất (Date)]],
_xlpm.S,Table1[[#This Row],[Snapshot]],
IF(
    ISNUMBER(_xlpm.H),
    INT(_xlpm.H)-INT(_xlpm.S),
    "Không giao thời hạn"
))</f>
        <v>Không giao thời hạn</v>
      </c>
      <c r="X447" s="4" t="s">
        <v>214</v>
      </c>
      <c r="Y447" s="5"/>
      <c r="Z447" s="5" t="s">
        <v>35</v>
      </c>
      <c r="AA447" s="5"/>
      <c r="AB447" s="4" t="s">
        <v>215</v>
      </c>
      <c r="AC447" s="6"/>
      <c r="AD447" s="6"/>
      <c r="AE447" s="4">
        <v>0</v>
      </c>
      <c r="AF447" s="26" t="str">
        <f>_xlfn.LET(
_xlpm.H,Table1[[#This Row],[Thời hạn mới nhất (Date)]],
_xlpm.D,Table1[[#This Row],[Dự kiến mới nhất (Date)]],
IF(
NOT(ISNUMBER(_xlpm.H)),"Không giao thời hạn",
IF(
NOT(ISNUMBER(_xlpm.D)),"Chưa có dự kiến",
_xlpm.D-_xlpm.H
)))</f>
        <v>Không giao thời hạn</v>
      </c>
    </row>
    <row r="448" spans="1:32" ht="174.9" x14ac:dyDescent="0.4">
      <c r="A448" s="45">
        <v>46275</v>
      </c>
      <c r="B448" s="7" t="s">
        <v>211</v>
      </c>
      <c r="C448" s="8" t="s">
        <v>44</v>
      </c>
      <c r="D448" s="8">
        <v>49</v>
      </c>
      <c r="E448" s="8" t="str">
        <f>_xlfn.TEXTJOIN("+",TRUE,Table1[[#This Row],[Snapshot]:[ID]])</f>
        <v>46275+DIR-FE718CCF504B</v>
      </c>
      <c r="F448" s="8"/>
      <c r="G448" s="5" t="s">
        <v>1426</v>
      </c>
      <c r="H448" s="20" t="s">
        <v>1427</v>
      </c>
      <c r="I448" s="8" t="s">
        <v>63</v>
      </c>
      <c r="J448" s="7" t="s">
        <v>200</v>
      </c>
      <c r="K448" s="7" t="str" cm="1">
        <f t="array" ref="K448">_xlfn.LET(
    _xlpm.ChuanHoa,
        _xlfn.LAMBDA(_xlpm.x,
            _xlfn.LET(
                _xlpm.s,
                    LOWER(
                        TRIM(
                            SUBSTITUTE(
                                SUBSTITUTE(
                                    SUBSTITUTE(
                                        SUBSTITUTE(
                                            SUBSTITUTE(
                                                SUBSTITUTE(_xlpm.x&amp;"","&amp;amp;","&amp;"),
                                                CHAR(10)," "
                                            ),
                                            CHAR(13)," "
                                        ),
                                        CHAR(160)," "
                                    ),
                                    "–","-"
                                ),
                                "…"," "
                            )
                        )
                    ),
                TRIM(_xlpm.s)
            )
        ),
    _xlpm.ChiDao,
        _xlpm.ChuanHoa(Table1[[#This Row],[Tóm tắt nội dung chỉ đạo]]),
    _xlpm.KetQua,
        _xlpm.ChuanHoa(Table1[[#This Row],[Kết quả/tiến độ đến thời điểm báo cáo]]),
    _xlpm.Nhom,
        Topics[Topic_Group],
    _xlpm.DanhSachTuKhoa,
        Topics[Keywords],
    _xlpm.Diem,
        _xlfn.MAP(
            _xlpm.DanhSachTuKhoa,
            _xlfn.LAMBDA(_xlpm.DongTuKhoa,
                _xlfn.LET(
                    _xlpm.TuKhoaGoc,
                        TRIM(
                            _xlfn.TEXTSPLIT(
                                _xlpm.ChuanHoa(_xlpm.DongTuKhoa),
                                ","
                            )
                        ),
                    _xlpm.TuKhoa,
                        _xlfn._xlws.FILTER(
                            _xlpm.TuKhoaGoc,
                            _xlpm.TuKhoaGoc&lt;&gt;"",
                            ""
                        ),
                    _xlpm.DiemChiDao,
                        SUM(
                            --ISNUMBER(
                                SEARCH(
                                    _xlpm.TuKhoa,
                                    _xlpm.ChiDao
                                )
                            )
                        ),
                    _xlpm.DiemKetQua,
                        SUM(
                            --ISNUMBER(
                                SEARCH(
                                    _xlpm.TuKhoa,
                                    _xlpm.KetQua
                                )
                            )
                        ),
                    _xlpm.DiemChiDao*100+_xlpm.DiemKetQua*10
                )
            )
        ),
    _xlpm.DiemCaoNhat,
        MAX(_xlpm.Diem),
    IF(
        _xlpm.DiemCaoNhat=0,
        "! Cần rà soát",
        INDEX(
            _xlpm.Nhom,
            _xlfn.XMATCH(
                _xlpm.DiemCaoNhat,
                _xlpm.Diem,
                0
            )
        )
    )
)</f>
        <v>20. VikkiONE Connect và Hệ sinh thái Thẻ</v>
      </c>
      <c r="L448" s="7" t="s">
        <v>44</v>
      </c>
      <c r="M448" s="7" t="s">
        <v>212</v>
      </c>
      <c r="N448" s="7" t="s">
        <v>1703</v>
      </c>
      <c r="O448" s="7" t="s">
        <v>213</v>
      </c>
      <c r="P448" s="9">
        <v>45962</v>
      </c>
      <c r="Q448" s="9">
        <v>45962</v>
      </c>
      <c r="R448" s="8">
        <v>1</v>
      </c>
      <c r="S448" s="8"/>
      <c r="T448" s="21"/>
      <c r="U448" s="21"/>
      <c r="V448" s="8">
        <v>0</v>
      </c>
      <c r="W448" s="22" t="str">
        <f>_xlfn.LET(
_xlpm.H,Table1[[#This Row],[Thời hạn mới nhất (Date)]],
_xlpm.S,Table1[[#This Row],[Snapshot]],
IF(
    ISNUMBER(_xlpm.H),
    INT(_xlpm.H)-INT(_xlpm.S),
    "Không giao thời hạn"
))</f>
        <v>Không giao thời hạn</v>
      </c>
      <c r="X448" s="7" t="s">
        <v>214</v>
      </c>
      <c r="Y448" s="8"/>
      <c r="Z448" s="8" t="s">
        <v>35</v>
      </c>
      <c r="AA448" s="8"/>
      <c r="AB448" s="7" t="s">
        <v>215</v>
      </c>
      <c r="AC448" s="9"/>
      <c r="AD448" s="9"/>
      <c r="AE448" s="7">
        <v>0</v>
      </c>
      <c r="AF448" s="27" t="str">
        <f>_xlfn.LET(
_xlpm.H,Table1[[#This Row],[Thời hạn mới nhất (Date)]],
_xlpm.D,Table1[[#This Row],[Dự kiến mới nhất (Date)]],
IF(
NOT(ISNUMBER(_xlpm.H)),"Không giao thời hạn",
IF(
NOT(ISNUMBER(_xlpm.D)),"Chưa có dự kiến",
_xlpm.D-_xlpm.H
)))</f>
        <v>Không giao thời hạn</v>
      </c>
    </row>
  </sheetData>
  <phoneticPr fontId="3" type="noConversion"/>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B31A3-CC84-445C-A2D2-B6597093F50E}">
  <dimension ref="A1:F8"/>
  <sheetViews>
    <sheetView zoomScale="160" zoomScaleNormal="160" workbookViewId="0">
      <selection activeCell="B5" sqref="B5"/>
    </sheetView>
  </sheetViews>
  <sheetFormatPr defaultRowHeight="14.6" x14ac:dyDescent="0.4"/>
  <cols>
    <col min="1" max="1" width="10.921875" customWidth="1"/>
    <col min="2" max="6" width="23" customWidth="1"/>
  </cols>
  <sheetData>
    <row r="1" spans="1:6" ht="18.45" x14ac:dyDescent="0.4">
      <c r="A1" s="40" t="s">
        <v>1694</v>
      </c>
    </row>
    <row r="2" spans="1:6" x14ac:dyDescent="0.4">
      <c r="A2" s="42" t="s">
        <v>1695</v>
      </c>
    </row>
    <row r="3" spans="1:6" ht="21.45" x14ac:dyDescent="0.4">
      <c r="A3" s="43" t="s">
        <v>1660</v>
      </c>
      <c r="B3" s="43" t="s">
        <v>1661</v>
      </c>
      <c r="C3" s="43" t="s">
        <v>1662</v>
      </c>
      <c r="D3" s="43" t="s">
        <v>1663</v>
      </c>
      <c r="E3" s="43" t="s">
        <v>1733</v>
      </c>
      <c r="F3" s="43" t="s">
        <v>1658</v>
      </c>
    </row>
    <row r="4" spans="1:6" ht="107.15" x14ac:dyDescent="0.4">
      <c r="A4" s="43" t="s">
        <v>1689</v>
      </c>
      <c r="B4" s="43" t="s">
        <v>1664</v>
      </c>
      <c r="C4" s="43" t="s">
        <v>1665</v>
      </c>
      <c r="D4" s="43" t="s">
        <v>1666</v>
      </c>
      <c r="E4" s="43" t="s">
        <v>1667</v>
      </c>
      <c r="F4" s="43" t="s">
        <v>1668</v>
      </c>
    </row>
    <row r="5" spans="1:6" ht="117.9" x14ac:dyDescent="0.4">
      <c r="A5" s="43" t="s">
        <v>1690</v>
      </c>
      <c r="B5" s="43" t="s">
        <v>1669</v>
      </c>
      <c r="C5" s="43" t="s">
        <v>1670</v>
      </c>
      <c r="D5" s="43" t="s">
        <v>1671</v>
      </c>
      <c r="E5" s="43" t="s">
        <v>1672</v>
      </c>
      <c r="F5" s="43" t="s">
        <v>1673</v>
      </c>
    </row>
    <row r="6" spans="1:6" ht="85.75" x14ac:dyDescent="0.4">
      <c r="A6" s="43" t="s">
        <v>1691</v>
      </c>
      <c r="B6" s="43" t="s">
        <v>1674</v>
      </c>
      <c r="C6" s="43" t="s">
        <v>1675</v>
      </c>
      <c r="D6" s="43" t="s">
        <v>1676</v>
      </c>
      <c r="E6" s="43" t="s">
        <v>1677</v>
      </c>
      <c r="F6" s="43" t="s">
        <v>1678</v>
      </c>
    </row>
    <row r="7" spans="1:6" ht="75" x14ac:dyDescent="0.4">
      <c r="A7" s="43" t="s">
        <v>1692</v>
      </c>
      <c r="B7" s="43" t="s">
        <v>1679</v>
      </c>
      <c r="C7" s="43" t="s">
        <v>1680</v>
      </c>
      <c r="D7" s="43" t="s">
        <v>1681</v>
      </c>
      <c r="E7" s="43" t="s">
        <v>1682</v>
      </c>
      <c r="F7" s="43" t="s">
        <v>1683</v>
      </c>
    </row>
    <row r="8" spans="1:6" ht="85.75" x14ac:dyDescent="0.4">
      <c r="A8" s="43" t="s">
        <v>1693</v>
      </c>
      <c r="B8" s="43" t="s">
        <v>1684</v>
      </c>
      <c r="C8" s="43" t="s">
        <v>1685</v>
      </c>
      <c r="D8" s="43" t="s">
        <v>1686</v>
      </c>
      <c r="E8" s="43" t="s">
        <v>1687</v>
      </c>
      <c r="F8" s="43" t="s">
        <v>1688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2A2A-D545-472D-9CD8-A9BE1FCF0D4A}">
  <dimension ref="A1:C29"/>
  <sheetViews>
    <sheetView workbookViewId="0">
      <selection activeCell="E1" sqref="E1:G1048576"/>
    </sheetView>
  </sheetViews>
  <sheetFormatPr defaultRowHeight="14.6" x14ac:dyDescent="0.4"/>
  <cols>
    <col min="1" max="1" width="54.3046875" style="28" bestFit="1" customWidth="1"/>
    <col min="2" max="3" width="55.15234375" style="28" customWidth="1"/>
  </cols>
  <sheetData>
    <row r="1" spans="1:3" x14ac:dyDescent="0.4">
      <c r="A1" s="28" t="s">
        <v>1068</v>
      </c>
      <c r="B1" s="28" t="s">
        <v>1066</v>
      </c>
      <c r="C1" s="28" t="s">
        <v>1067</v>
      </c>
    </row>
    <row r="2" spans="1:3" x14ac:dyDescent="0.4">
      <c r="A2" t="s">
        <v>1069</v>
      </c>
      <c r="B2"/>
      <c r="C2" t="s">
        <v>1070</v>
      </c>
    </row>
    <row r="3" spans="1:3" x14ac:dyDescent="0.4">
      <c r="A3" t="s">
        <v>1071</v>
      </c>
      <c r="B3"/>
      <c r="C3" t="s">
        <v>1072</v>
      </c>
    </row>
    <row r="4" spans="1:3" x14ac:dyDescent="0.4">
      <c r="A4" t="s">
        <v>1073</v>
      </c>
      <c r="B4" t="s">
        <v>1074</v>
      </c>
      <c r="C4" t="s">
        <v>1075</v>
      </c>
    </row>
    <row r="5" spans="1:3" x14ac:dyDescent="0.4">
      <c r="A5" t="s">
        <v>1076</v>
      </c>
      <c r="B5" t="s">
        <v>1077</v>
      </c>
      <c r="C5" t="s">
        <v>1078</v>
      </c>
    </row>
    <row r="6" spans="1:3" x14ac:dyDescent="0.4">
      <c r="A6" t="s">
        <v>1079</v>
      </c>
      <c r="B6" t="s">
        <v>1080</v>
      </c>
      <c r="C6" t="s">
        <v>1081</v>
      </c>
    </row>
    <row r="7" spans="1:3" x14ac:dyDescent="0.4">
      <c r="A7" t="s">
        <v>1082</v>
      </c>
      <c r="B7" t="s">
        <v>1083</v>
      </c>
      <c r="C7" t="s">
        <v>1084</v>
      </c>
    </row>
    <row r="8" spans="1:3" x14ac:dyDescent="0.4">
      <c r="A8" t="s">
        <v>1085</v>
      </c>
      <c r="B8" t="s">
        <v>1086</v>
      </c>
      <c r="C8" t="s">
        <v>1087</v>
      </c>
    </row>
    <row r="9" spans="1:3" x14ac:dyDescent="0.4">
      <c r="A9" t="s">
        <v>1088</v>
      </c>
      <c r="B9" t="s">
        <v>1089</v>
      </c>
      <c r="C9" t="s">
        <v>1090</v>
      </c>
    </row>
    <row r="10" spans="1:3" x14ac:dyDescent="0.4">
      <c r="A10" t="s">
        <v>1091</v>
      </c>
      <c r="B10" t="s">
        <v>1092</v>
      </c>
      <c r="C10" t="s">
        <v>1093</v>
      </c>
    </row>
    <row r="11" spans="1:3" x14ac:dyDescent="0.4">
      <c r="A11" t="s">
        <v>1094</v>
      </c>
      <c r="B11" t="s">
        <v>1095</v>
      </c>
      <c r="C11" t="s">
        <v>1096</v>
      </c>
    </row>
    <row r="12" spans="1:3" x14ac:dyDescent="0.4">
      <c r="A12" t="s">
        <v>1097</v>
      </c>
      <c r="B12" t="s">
        <v>1098</v>
      </c>
      <c r="C12" t="s">
        <v>1099</v>
      </c>
    </row>
    <row r="13" spans="1:3" x14ac:dyDescent="0.4">
      <c r="A13" t="s">
        <v>1100</v>
      </c>
      <c r="B13" t="s">
        <v>1101</v>
      </c>
      <c r="C13" t="s">
        <v>1102</v>
      </c>
    </row>
    <row r="14" spans="1:3" x14ac:dyDescent="0.4">
      <c r="A14" t="s">
        <v>1103</v>
      </c>
      <c r="B14" t="s">
        <v>1104</v>
      </c>
      <c r="C14" t="s">
        <v>1105</v>
      </c>
    </row>
    <row r="15" spans="1:3" x14ac:dyDescent="0.4">
      <c r="A15" t="s">
        <v>1106</v>
      </c>
      <c r="B15" t="s">
        <v>1107</v>
      </c>
      <c r="C15" t="s">
        <v>1108</v>
      </c>
    </row>
    <row r="16" spans="1:3" x14ac:dyDescent="0.4">
      <c r="A16" t="s">
        <v>1109</v>
      </c>
      <c r="B16" t="s">
        <v>1110</v>
      </c>
      <c r="C16" t="s">
        <v>1111</v>
      </c>
    </row>
    <row r="17" spans="1:3" x14ac:dyDescent="0.4">
      <c r="A17" t="s">
        <v>1112</v>
      </c>
      <c r="B17" t="s">
        <v>1113</v>
      </c>
      <c r="C17" t="s">
        <v>1114</v>
      </c>
    </row>
    <row r="18" spans="1:3" x14ac:dyDescent="0.4">
      <c r="A18" t="s">
        <v>1115</v>
      </c>
      <c r="B18" t="s">
        <v>1116</v>
      </c>
      <c r="C18" t="s">
        <v>1117</v>
      </c>
    </row>
    <row r="19" spans="1:3" x14ac:dyDescent="0.4">
      <c r="A19" t="s">
        <v>1118</v>
      </c>
      <c r="B19" t="s">
        <v>1119</v>
      </c>
      <c r="C19" t="s">
        <v>1120</v>
      </c>
    </row>
    <row r="20" spans="1:3" x14ac:dyDescent="0.4">
      <c r="A20" t="s">
        <v>1121</v>
      </c>
      <c r="B20" t="s">
        <v>1122</v>
      </c>
      <c r="C20" t="s">
        <v>1123</v>
      </c>
    </row>
    <row r="21" spans="1:3" x14ac:dyDescent="0.4">
      <c r="A21" t="s">
        <v>1124</v>
      </c>
      <c r="B21" t="s">
        <v>1125</v>
      </c>
      <c r="C21" t="s">
        <v>1126</v>
      </c>
    </row>
    <row r="22" spans="1:3" x14ac:dyDescent="0.4">
      <c r="A22" t="s">
        <v>1127</v>
      </c>
      <c r="B22" t="s">
        <v>1128</v>
      </c>
      <c r="C22" t="s">
        <v>1129</v>
      </c>
    </row>
    <row r="23" spans="1:3" x14ac:dyDescent="0.4">
      <c r="A23" t="s">
        <v>1130</v>
      </c>
      <c r="B23" t="s">
        <v>1131</v>
      </c>
      <c r="C23" t="s">
        <v>1132</v>
      </c>
    </row>
    <row r="24" spans="1:3" x14ac:dyDescent="0.4">
      <c r="A24" t="s">
        <v>1133</v>
      </c>
      <c r="B24" t="s">
        <v>1134</v>
      </c>
      <c r="C24" t="s">
        <v>1135</v>
      </c>
    </row>
    <row r="25" spans="1:3" x14ac:dyDescent="0.4">
      <c r="A25" t="s">
        <v>1136</v>
      </c>
      <c r="B25" t="s">
        <v>1137</v>
      </c>
      <c r="C25" t="s">
        <v>1138</v>
      </c>
    </row>
    <row r="26" spans="1:3" x14ac:dyDescent="0.4">
      <c r="A26" t="s">
        <v>1139</v>
      </c>
      <c r="B26" t="s">
        <v>1140</v>
      </c>
      <c r="C26" t="s">
        <v>1141</v>
      </c>
    </row>
    <row r="27" spans="1:3" x14ac:dyDescent="0.4">
      <c r="A27" t="s">
        <v>1142</v>
      </c>
      <c r="B27"/>
      <c r="C27" t="s">
        <v>1143</v>
      </c>
    </row>
    <row r="28" spans="1:3" x14ac:dyDescent="0.4">
      <c r="A28" t="s">
        <v>1144</v>
      </c>
      <c r="B28" t="s">
        <v>1145</v>
      </c>
      <c r="C28" t="s">
        <v>1146</v>
      </c>
    </row>
    <row r="29" spans="1:3" x14ac:dyDescent="0.4">
      <c r="A29" t="s">
        <v>1147</v>
      </c>
      <c r="B29"/>
      <c r="C29" t="s">
        <v>1148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90CF3-0BCF-409D-9ABA-994FD6AC0300}">
  <dimension ref="A1:C12"/>
  <sheetViews>
    <sheetView zoomScale="175" zoomScaleNormal="175" workbookViewId="0">
      <selection activeCell="B5" sqref="A1:C12"/>
    </sheetView>
  </sheetViews>
  <sheetFormatPr defaultRowHeight="14.6" x14ac:dyDescent="0.4"/>
  <cols>
    <col min="1" max="1" width="17.765625" style="12" bestFit="1" customWidth="1"/>
    <col min="2" max="2" width="30.61328125" style="12" bestFit="1" customWidth="1"/>
    <col min="3" max="3" width="56.07421875" style="12" bestFit="1" customWidth="1"/>
  </cols>
  <sheetData>
    <row r="1" spans="1:3" x14ac:dyDescent="0.4">
      <c r="A1" s="23" t="s">
        <v>1040</v>
      </c>
      <c r="B1" s="23" t="s">
        <v>1041</v>
      </c>
      <c r="C1" s="23" t="s">
        <v>1042</v>
      </c>
    </row>
    <row r="2" spans="1:3" x14ac:dyDescent="0.4">
      <c r="A2" s="24">
        <v>1</v>
      </c>
      <c r="B2" s="25" t="s">
        <v>1043</v>
      </c>
      <c r="C2" s="25" t="s">
        <v>1044</v>
      </c>
    </row>
    <row r="3" spans="1:3" x14ac:dyDescent="0.4">
      <c r="A3" s="24">
        <v>2</v>
      </c>
      <c r="B3" s="25" t="s">
        <v>1045</v>
      </c>
      <c r="C3" s="25" t="s">
        <v>1046</v>
      </c>
    </row>
    <row r="4" spans="1:3" x14ac:dyDescent="0.4">
      <c r="A4" s="24">
        <v>3</v>
      </c>
      <c r="B4" s="25" t="s">
        <v>1047</v>
      </c>
      <c r="C4" s="25" t="s">
        <v>1048</v>
      </c>
    </row>
    <row r="5" spans="1:3" x14ac:dyDescent="0.4">
      <c r="A5" s="24">
        <v>4</v>
      </c>
      <c r="B5" s="25" t="s">
        <v>1049</v>
      </c>
      <c r="C5" s="25" t="s">
        <v>1050</v>
      </c>
    </row>
    <row r="6" spans="1:3" x14ac:dyDescent="0.4">
      <c r="A6" s="24">
        <v>5</v>
      </c>
      <c r="B6" s="25" t="s">
        <v>1051</v>
      </c>
      <c r="C6" s="25" t="s">
        <v>1052</v>
      </c>
    </row>
    <row r="7" spans="1:3" x14ac:dyDescent="0.4">
      <c r="A7" s="24">
        <v>6</v>
      </c>
      <c r="B7" s="25" t="s">
        <v>1053</v>
      </c>
      <c r="C7" s="25" t="s">
        <v>1054</v>
      </c>
    </row>
    <row r="8" spans="1:3" x14ac:dyDescent="0.4">
      <c r="A8" s="24">
        <v>7</v>
      </c>
      <c r="B8" s="25" t="s">
        <v>1055</v>
      </c>
      <c r="C8" s="25" t="s">
        <v>1056</v>
      </c>
    </row>
    <row r="9" spans="1:3" x14ac:dyDescent="0.4">
      <c r="A9" s="24">
        <v>8</v>
      </c>
      <c r="B9" s="25" t="s">
        <v>1057</v>
      </c>
      <c r="C9" s="25" t="s">
        <v>1058</v>
      </c>
    </row>
    <row r="10" spans="1:3" x14ac:dyDescent="0.4">
      <c r="A10" s="24">
        <v>9</v>
      </c>
      <c r="B10" s="25" t="s">
        <v>1059</v>
      </c>
      <c r="C10" s="25" t="s">
        <v>1060</v>
      </c>
    </row>
    <row r="11" spans="1:3" x14ac:dyDescent="0.4">
      <c r="A11" s="24">
        <v>10</v>
      </c>
      <c r="B11" s="25" t="s">
        <v>1061</v>
      </c>
      <c r="C11" s="25" t="s">
        <v>1062</v>
      </c>
    </row>
    <row r="12" spans="1:3" x14ac:dyDescent="0.4">
      <c r="A12" s="24">
        <v>11</v>
      </c>
      <c r="B12" s="25" t="s">
        <v>1063</v>
      </c>
      <c r="C12" s="25" t="s">
        <v>1064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47AD-1DEB-47BF-9D99-5E581C59D21E}">
  <dimension ref="A1:G172"/>
  <sheetViews>
    <sheetView topLeftCell="A5" workbookViewId="0">
      <selection activeCell="A10" sqref="A10"/>
    </sheetView>
  </sheetViews>
  <sheetFormatPr defaultRowHeight="14.6" x14ac:dyDescent="0.4"/>
  <cols>
    <col min="1" max="1" width="29.69140625" style="1" customWidth="1"/>
    <col min="2" max="2" width="54.69140625" style="1" customWidth="1"/>
    <col min="3" max="3" width="98.4609375" style="1" customWidth="1"/>
  </cols>
  <sheetData>
    <row r="1" spans="1:7" x14ac:dyDescent="0.4">
      <c r="A1" s="1" t="s">
        <v>6</v>
      </c>
      <c r="B1" s="1" t="s">
        <v>1035</v>
      </c>
      <c r="C1" s="1" t="s">
        <v>1033</v>
      </c>
      <c r="E1" t="s">
        <v>6</v>
      </c>
      <c r="F1" t="s">
        <v>1035</v>
      </c>
      <c r="G1" t="s">
        <v>1033</v>
      </c>
    </row>
    <row r="2" spans="1:7" ht="87.45" x14ac:dyDescent="0.4">
      <c r="A2" s="1" t="s">
        <v>1034</v>
      </c>
      <c r="B2" s="1" t="s">
        <v>1517</v>
      </c>
      <c r="C2" s="1" t="s">
        <v>1518</v>
      </c>
      <c r="E2" t="s">
        <v>1034</v>
      </c>
      <c r="F2" t="s">
        <v>1517</v>
      </c>
      <c r="G2" t="s">
        <v>1518</v>
      </c>
    </row>
    <row r="3" spans="1:7" ht="72.900000000000006" x14ac:dyDescent="0.4">
      <c r="A3" s="1" t="s">
        <v>1519</v>
      </c>
      <c r="B3" s="1" t="s">
        <v>1520</v>
      </c>
      <c r="C3" s="1" t="s">
        <v>1521</v>
      </c>
      <c r="E3" t="s">
        <v>1519</v>
      </c>
      <c r="F3" t="s">
        <v>1520</v>
      </c>
      <c r="G3" t="s">
        <v>1521</v>
      </c>
    </row>
    <row r="4" spans="1:7" ht="58.3" x14ac:dyDescent="0.4">
      <c r="A4" s="1" t="s">
        <v>1522</v>
      </c>
      <c r="B4" s="1" t="s">
        <v>1523</v>
      </c>
      <c r="C4" s="1" t="s">
        <v>1524</v>
      </c>
      <c r="E4" t="s">
        <v>1522</v>
      </c>
      <c r="F4" t="s">
        <v>1523</v>
      </c>
      <c r="G4" t="s">
        <v>1524</v>
      </c>
    </row>
    <row r="5" spans="1:7" ht="58.3" x14ac:dyDescent="0.4">
      <c r="A5" s="1" t="s">
        <v>1525</v>
      </c>
      <c r="B5" s="1" t="s">
        <v>1526</v>
      </c>
      <c r="C5" s="1" t="s">
        <v>1527</v>
      </c>
      <c r="E5" t="s">
        <v>1525</v>
      </c>
      <c r="F5" t="s">
        <v>1526</v>
      </c>
      <c r="G5" t="s">
        <v>1527</v>
      </c>
    </row>
    <row r="6" spans="1:7" ht="58.3" x14ac:dyDescent="0.4">
      <c r="A6" s="1" t="s">
        <v>1528</v>
      </c>
      <c r="B6" s="1" t="s">
        <v>1529</v>
      </c>
      <c r="C6" s="1" t="s">
        <v>1530</v>
      </c>
      <c r="E6" t="s">
        <v>1528</v>
      </c>
      <c r="F6" t="s">
        <v>1529</v>
      </c>
      <c r="G6" t="s">
        <v>1530</v>
      </c>
    </row>
    <row r="7" spans="1:7" ht="58.3" x14ac:dyDescent="0.4">
      <c r="A7" s="1" t="s">
        <v>1531</v>
      </c>
      <c r="B7" s="1" t="s">
        <v>1532</v>
      </c>
      <c r="C7" s="1" t="s">
        <v>1533</v>
      </c>
      <c r="E7" t="s">
        <v>1531</v>
      </c>
      <c r="F7" t="s">
        <v>1532</v>
      </c>
      <c r="G7" t="s">
        <v>1533</v>
      </c>
    </row>
    <row r="8" spans="1:7" ht="43.75" x14ac:dyDescent="0.4">
      <c r="A8" s="1" t="s">
        <v>1534</v>
      </c>
      <c r="B8" s="1" t="s">
        <v>1535</v>
      </c>
      <c r="C8" s="1" t="s">
        <v>1536</v>
      </c>
      <c r="E8" t="s">
        <v>1534</v>
      </c>
      <c r="F8" t="s">
        <v>1535</v>
      </c>
      <c r="G8" t="s">
        <v>1536</v>
      </c>
    </row>
    <row r="9" spans="1:7" ht="43.75" x14ac:dyDescent="0.4">
      <c r="A9" s="1" t="s">
        <v>1537</v>
      </c>
      <c r="B9" s="1" t="s">
        <v>1538</v>
      </c>
      <c r="C9" s="1" t="s">
        <v>1539</v>
      </c>
      <c r="E9" t="s">
        <v>1537</v>
      </c>
      <c r="F9" t="s">
        <v>1538</v>
      </c>
      <c r="G9" t="s">
        <v>1539</v>
      </c>
    </row>
    <row r="10" spans="1:7" ht="58.3" x14ac:dyDescent="0.4">
      <c r="A10" s="1" t="s">
        <v>1540</v>
      </c>
      <c r="B10" s="1" t="s">
        <v>1541</v>
      </c>
      <c r="C10" s="1" t="s">
        <v>1542</v>
      </c>
      <c r="E10" t="s">
        <v>1540</v>
      </c>
      <c r="F10" t="s">
        <v>1541</v>
      </c>
      <c r="G10" t="s">
        <v>1542</v>
      </c>
    </row>
    <row r="11" spans="1:7" ht="43.75" x14ac:dyDescent="0.4">
      <c r="A11" s="1" t="s">
        <v>1543</v>
      </c>
      <c r="B11" s="1" t="s">
        <v>1544</v>
      </c>
      <c r="C11" s="1" t="s">
        <v>1545</v>
      </c>
      <c r="E11" t="s">
        <v>1543</v>
      </c>
      <c r="F11" t="s">
        <v>1544</v>
      </c>
      <c r="G11" t="s">
        <v>1545</v>
      </c>
    </row>
    <row r="12" spans="1:7" ht="58.3" x14ac:dyDescent="0.4">
      <c r="A12" s="1" t="s">
        <v>1546</v>
      </c>
      <c r="B12" s="1" t="s">
        <v>1547</v>
      </c>
      <c r="C12" s="1" t="s">
        <v>1548</v>
      </c>
      <c r="E12" t="s">
        <v>1546</v>
      </c>
      <c r="F12" t="s">
        <v>1547</v>
      </c>
      <c r="G12" t="s">
        <v>1548</v>
      </c>
    </row>
    <row r="13" spans="1:7" ht="58.3" x14ac:dyDescent="0.4">
      <c r="A13" s="1" t="s">
        <v>1549</v>
      </c>
      <c r="B13" s="1" t="s">
        <v>1550</v>
      </c>
      <c r="C13" s="1" t="s">
        <v>1551</v>
      </c>
      <c r="E13" t="s">
        <v>1549</v>
      </c>
      <c r="F13" t="s">
        <v>1550</v>
      </c>
      <c r="G13" t="s">
        <v>1551</v>
      </c>
    </row>
    <row r="14" spans="1:7" ht="58.3" x14ac:dyDescent="0.4">
      <c r="A14" s="1" t="s">
        <v>1552</v>
      </c>
      <c r="B14" s="1" t="s">
        <v>1553</v>
      </c>
      <c r="C14" s="1" t="s">
        <v>1554</v>
      </c>
      <c r="E14" t="s">
        <v>1552</v>
      </c>
      <c r="F14" t="s">
        <v>1553</v>
      </c>
      <c r="G14" t="s">
        <v>1554</v>
      </c>
    </row>
    <row r="15" spans="1:7" ht="43.75" x14ac:dyDescent="0.4">
      <c r="A15" s="1" t="s">
        <v>1555</v>
      </c>
      <c r="B15" s="1" t="s">
        <v>1556</v>
      </c>
      <c r="C15" s="1" t="s">
        <v>1557</v>
      </c>
      <c r="E15" t="s">
        <v>1555</v>
      </c>
      <c r="F15" t="s">
        <v>1556</v>
      </c>
      <c r="G15" t="s">
        <v>1557</v>
      </c>
    </row>
    <row r="16" spans="1:7" ht="58.3" x14ac:dyDescent="0.4">
      <c r="A16" s="1" t="s">
        <v>1558</v>
      </c>
      <c r="B16" s="1" t="s">
        <v>1559</v>
      </c>
      <c r="C16" s="1" t="s">
        <v>1620</v>
      </c>
      <c r="E16" t="s">
        <v>1558</v>
      </c>
      <c r="F16" t="s">
        <v>1559</v>
      </c>
      <c r="G16" t="s">
        <v>1560</v>
      </c>
    </row>
    <row r="17" spans="1:7" ht="58.3" x14ac:dyDescent="0.4">
      <c r="A17" s="1" t="s">
        <v>1561</v>
      </c>
      <c r="B17" s="1" t="s">
        <v>1562</v>
      </c>
      <c r="C17" s="1" t="s">
        <v>1563</v>
      </c>
      <c r="E17" t="s">
        <v>1561</v>
      </c>
      <c r="F17" t="s">
        <v>1562</v>
      </c>
      <c r="G17" t="s">
        <v>1563</v>
      </c>
    </row>
    <row r="18" spans="1:7" ht="58.3" x14ac:dyDescent="0.4">
      <c r="A18" s="1" t="s">
        <v>1564</v>
      </c>
      <c r="B18" s="1" t="s">
        <v>1565</v>
      </c>
      <c r="C18" s="1" t="s">
        <v>1566</v>
      </c>
      <c r="E18" t="s">
        <v>1564</v>
      </c>
      <c r="F18" t="s">
        <v>1565</v>
      </c>
      <c r="G18" t="s">
        <v>1566</v>
      </c>
    </row>
    <row r="19" spans="1:7" ht="58.3" x14ac:dyDescent="0.4">
      <c r="A19" s="1" t="s">
        <v>1567</v>
      </c>
      <c r="B19" s="1" t="s">
        <v>1568</v>
      </c>
      <c r="C19" s="1" t="s">
        <v>1569</v>
      </c>
      <c r="E19" t="s">
        <v>1567</v>
      </c>
      <c r="F19" t="s">
        <v>1568</v>
      </c>
      <c r="G19" t="s">
        <v>1569</v>
      </c>
    </row>
    <row r="20" spans="1:7" ht="58.3" x14ac:dyDescent="0.4">
      <c r="A20" s="1" t="s">
        <v>1570</v>
      </c>
      <c r="B20" s="1" t="s">
        <v>1571</v>
      </c>
      <c r="C20" s="1" t="s">
        <v>1572</v>
      </c>
      <c r="E20" t="s">
        <v>1570</v>
      </c>
      <c r="F20" t="s">
        <v>1571</v>
      </c>
      <c r="G20" t="s">
        <v>1572</v>
      </c>
    </row>
    <row r="21" spans="1:7" ht="58.3" x14ac:dyDescent="0.4">
      <c r="A21" s="1" t="s">
        <v>1573</v>
      </c>
      <c r="B21" s="1" t="s">
        <v>1574</v>
      </c>
      <c r="C21" s="1" t="s">
        <v>1039</v>
      </c>
      <c r="E21" t="s">
        <v>1573</v>
      </c>
      <c r="F21" t="s">
        <v>1574</v>
      </c>
      <c r="G21" t="s">
        <v>1039</v>
      </c>
    </row>
    <row r="22" spans="1:7" ht="58.3" x14ac:dyDescent="0.4">
      <c r="A22" s="1" t="s">
        <v>1575</v>
      </c>
      <c r="B22" s="1" t="s">
        <v>1576</v>
      </c>
      <c r="C22" s="1" t="s">
        <v>1577</v>
      </c>
      <c r="E22" t="s">
        <v>1575</v>
      </c>
      <c r="F22" t="s">
        <v>1576</v>
      </c>
      <c r="G22" t="s">
        <v>1577</v>
      </c>
    </row>
    <row r="23" spans="1:7" ht="43.75" x14ac:dyDescent="0.4">
      <c r="A23" s="1" t="s">
        <v>1578</v>
      </c>
      <c r="B23" s="1" t="s">
        <v>1579</v>
      </c>
      <c r="C23" s="1" t="s">
        <v>1580</v>
      </c>
      <c r="E23" t="s">
        <v>1578</v>
      </c>
      <c r="F23" t="s">
        <v>1579</v>
      </c>
      <c r="G23" t="s">
        <v>1580</v>
      </c>
    </row>
    <row r="24" spans="1:7" ht="58.3" x14ac:dyDescent="0.4">
      <c r="A24" s="1" t="s">
        <v>1581</v>
      </c>
      <c r="B24" s="1" t="s">
        <v>1582</v>
      </c>
      <c r="C24" s="1" t="s">
        <v>1036</v>
      </c>
      <c r="E24" t="s">
        <v>1581</v>
      </c>
      <c r="F24" t="s">
        <v>1582</v>
      </c>
      <c r="G24" t="s">
        <v>1036</v>
      </c>
    </row>
    <row r="25" spans="1:7" ht="72.900000000000006" x14ac:dyDescent="0.4">
      <c r="A25" s="1" t="s">
        <v>1583</v>
      </c>
      <c r="B25" s="1" t="s">
        <v>1584</v>
      </c>
      <c r="C25" s="1" t="s">
        <v>1037</v>
      </c>
      <c r="E25" t="s">
        <v>1583</v>
      </c>
      <c r="F25" t="s">
        <v>1584</v>
      </c>
      <c r="G25" t="s">
        <v>1037</v>
      </c>
    </row>
    <row r="26" spans="1:7" ht="43.75" x14ac:dyDescent="0.4">
      <c r="A26" s="1" t="s">
        <v>1585</v>
      </c>
      <c r="B26" s="1" t="s">
        <v>1586</v>
      </c>
      <c r="C26" s="1" t="s">
        <v>1038</v>
      </c>
      <c r="E26" t="s">
        <v>1585</v>
      </c>
      <c r="F26" t="s">
        <v>1586</v>
      </c>
      <c r="G26" t="s">
        <v>1038</v>
      </c>
    </row>
    <row r="27" spans="1:7" ht="58.3" x14ac:dyDescent="0.4">
      <c r="A27" s="1" t="s">
        <v>1587</v>
      </c>
      <c r="B27" s="1" t="s">
        <v>1588</v>
      </c>
      <c r="C27" s="1" t="s">
        <v>1589</v>
      </c>
      <c r="E27" t="s">
        <v>1587</v>
      </c>
      <c r="F27" t="s">
        <v>1588</v>
      </c>
      <c r="G27" t="s">
        <v>1589</v>
      </c>
    </row>
    <row r="28" spans="1:7" ht="58.3" x14ac:dyDescent="0.4">
      <c r="A28" s="1" t="s">
        <v>1590</v>
      </c>
      <c r="B28" s="1" t="s">
        <v>1591</v>
      </c>
      <c r="C28" s="1" t="s">
        <v>1592</v>
      </c>
      <c r="E28" t="s">
        <v>1590</v>
      </c>
      <c r="F28" t="s">
        <v>1591</v>
      </c>
      <c r="G28" t="s">
        <v>1592</v>
      </c>
    </row>
    <row r="29" spans="1:7" ht="43.75" x14ac:dyDescent="0.4">
      <c r="A29" s="1" t="s">
        <v>1593</v>
      </c>
      <c r="B29" s="1" t="s">
        <v>1594</v>
      </c>
      <c r="C29" s="1" t="s">
        <v>1595</v>
      </c>
      <c r="E29" t="s">
        <v>1593</v>
      </c>
      <c r="F29" t="s">
        <v>1594</v>
      </c>
      <c r="G29" t="s">
        <v>1595</v>
      </c>
    </row>
    <row r="30" spans="1:7" ht="29.15" x14ac:dyDescent="0.4">
      <c r="A30" s="1" t="s">
        <v>1596</v>
      </c>
      <c r="B30" s="1" t="s">
        <v>1597</v>
      </c>
      <c r="C30" s="1" t="s">
        <v>1598</v>
      </c>
      <c r="E30" t="s">
        <v>1596</v>
      </c>
      <c r="F30" t="s">
        <v>1597</v>
      </c>
      <c r="G30" t="s">
        <v>1598</v>
      </c>
    </row>
    <row r="31" spans="1:7" ht="72.900000000000006" x14ac:dyDescent="0.4">
      <c r="A31" s="1" t="s">
        <v>1599</v>
      </c>
      <c r="B31" s="1" t="s">
        <v>1600</v>
      </c>
      <c r="C31" s="1" t="s">
        <v>1601</v>
      </c>
      <c r="E31" t="s">
        <v>1599</v>
      </c>
      <c r="F31" t="s">
        <v>1600</v>
      </c>
      <c r="G31" t="s">
        <v>1601</v>
      </c>
    </row>
    <row r="32" spans="1:7" ht="72.900000000000006" x14ac:dyDescent="0.4">
      <c r="A32" s="1" t="s">
        <v>1602</v>
      </c>
      <c r="B32" s="1" t="s">
        <v>1603</v>
      </c>
      <c r="C32" s="1" t="s">
        <v>1621</v>
      </c>
      <c r="E32" t="s">
        <v>1602</v>
      </c>
      <c r="F32" t="s">
        <v>1603</v>
      </c>
      <c r="G32" t="s">
        <v>1604</v>
      </c>
    </row>
    <row r="33" spans="1:7" ht="58.3" x14ac:dyDescent="0.4">
      <c r="A33" s="1" t="s">
        <v>1605</v>
      </c>
      <c r="B33" s="1" t="s">
        <v>1606</v>
      </c>
      <c r="C33" s="1" t="s">
        <v>1607</v>
      </c>
      <c r="E33" t="s">
        <v>1605</v>
      </c>
      <c r="F33" t="s">
        <v>1606</v>
      </c>
      <c r="G33" t="s">
        <v>1607</v>
      </c>
    </row>
    <row r="34" spans="1:7" ht="58.3" x14ac:dyDescent="0.4">
      <c r="A34" s="1" t="s">
        <v>1608</v>
      </c>
      <c r="B34" s="1" t="s">
        <v>1609</v>
      </c>
      <c r="C34" s="1" t="s">
        <v>1610</v>
      </c>
      <c r="E34" t="s">
        <v>1608</v>
      </c>
      <c r="F34" t="s">
        <v>1609</v>
      </c>
      <c r="G34" t="s">
        <v>1610</v>
      </c>
    </row>
    <row r="35" spans="1:7" ht="58.3" x14ac:dyDescent="0.4">
      <c r="A35" s="1" t="s">
        <v>1611</v>
      </c>
      <c r="B35" s="1" t="s">
        <v>1612</v>
      </c>
      <c r="C35" s="1" t="s">
        <v>1613</v>
      </c>
      <c r="E35" t="s">
        <v>1611</v>
      </c>
      <c r="F35" t="s">
        <v>1612</v>
      </c>
      <c r="G35" t="s">
        <v>1613</v>
      </c>
    </row>
    <row r="36" spans="1:7" ht="43.75" x14ac:dyDescent="0.4">
      <c r="A36" s="1" t="s">
        <v>1614</v>
      </c>
      <c r="B36" s="1" t="s">
        <v>1615</v>
      </c>
      <c r="C36" s="1" t="s">
        <v>1616</v>
      </c>
      <c r="E36" t="s">
        <v>1614</v>
      </c>
      <c r="F36" t="s">
        <v>1615</v>
      </c>
      <c r="G36" t="s">
        <v>1616</v>
      </c>
    </row>
    <row r="37" spans="1:7" ht="43.75" x14ac:dyDescent="0.4">
      <c r="A37" s="1" t="s">
        <v>1617</v>
      </c>
      <c r="B37" s="1" t="s">
        <v>1618</v>
      </c>
      <c r="C37" s="1" t="s">
        <v>1619</v>
      </c>
      <c r="E37" t="s">
        <v>1617</v>
      </c>
      <c r="F37" t="s">
        <v>1618</v>
      </c>
      <c r="G37" t="s">
        <v>1619</v>
      </c>
    </row>
    <row r="38" spans="1:7" ht="102" x14ac:dyDescent="0.4">
      <c r="A38" s="1" t="s">
        <v>1622</v>
      </c>
      <c r="B38" s="1" t="s">
        <v>1623</v>
      </c>
      <c r="C38" s="1" t="s">
        <v>1624</v>
      </c>
    </row>
    <row r="39" spans="1:7" ht="58.3" x14ac:dyDescent="0.4">
      <c r="A39" s="1" t="s">
        <v>1625</v>
      </c>
      <c r="B39" s="1" t="s">
        <v>1626</v>
      </c>
      <c r="C39" s="1" t="s">
        <v>1627</v>
      </c>
    </row>
    <row r="40" spans="1:7" x14ac:dyDescent="0.4">
      <c r="A40"/>
      <c r="B40"/>
      <c r="C40"/>
    </row>
    <row r="41" spans="1:7" x14ac:dyDescent="0.4">
      <c r="A41"/>
      <c r="B41"/>
      <c r="C41"/>
    </row>
    <row r="42" spans="1:7" x14ac:dyDescent="0.4">
      <c r="A42"/>
      <c r="B42"/>
      <c r="C42"/>
    </row>
    <row r="43" spans="1:7" x14ac:dyDescent="0.4">
      <c r="A43"/>
      <c r="B43"/>
      <c r="C43"/>
    </row>
    <row r="44" spans="1:7" x14ac:dyDescent="0.4">
      <c r="A44"/>
      <c r="B44"/>
      <c r="C44"/>
    </row>
    <row r="45" spans="1:7" x14ac:dyDescent="0.4">
      <c r="A45"/>
      <c r="B45"/>
      <c r="C45"/>
    </row>
    <row r="46" spans="1:7" x14ac:dyDescent="0.4">
      <c r="A46"/>
      <c r="B46"/>
      <c r="C46"/>
    </row>
    <row r="47" spans="1:7" x14ac:dyDescent="0.4">
      <c r="A47"/>
      <c r="B47"/>
      <c r="C47"/>
    </row>
    <row r="48" spans="1:7" x14ac:dyDescent="0.4">
      <c r="A48"/>
      <c r="B48"/>
      <c r="C48"/>
    </row>
    <row r="49" customFormat="1" x14ac:dyDescent="0.4"/>
    <row r="50" customFormat="1" x14ac:dyDescent="0.4"/>
    <row r="51" customFormat="1" x14ac:dyDescent="0.4"/>
    <row r="52" customFormat="1" x14ac:dyDescent="0.4"/>
    <row r="53" customFormat="1" x14ac:dyDescent="0.4"/>
    <row r="54" customFormat="1" x14ac:dyDescent="0.4"/>
    <row r="55" customFormat="1" x14ac:dyDescent="0.4"/>
    <row r="56" customFormat="1" x14ac:dyDescent="0.4"/>
    <row r="57" customFormat="1" x14ac:dyDescent="0.4"/>
    <row r="58" customFormat="1" x14ac:dyDescent="0.4"/>
    <row r="59" customFormat="1" x14ac:dyDescent="0.4"/>
    <row r="60" customFormat="1" x14ac:dyDescent="0.4"/>
    <row r="61" customFormat="1" x14ac:dyDescent="0.4"/>
    <row r="62" customFormat="1" x14ac:dyDescent="0.4"/>
    <row r="63" customFormat="1" x14ac:dyDescent="0.4"/>
    <row r="64" customFormat="1" x14ac:dyDescent="0.4"/>
    <row r="65" customFormat="1" x14ac:dyDescent="0.4"/>
    <row r="66" customFormat="1" x14ac:dyDescent="0.4"/>
    <row r="67" customFormat="1" x14ac:dyDescent="0.4"/>
    <row r="68" customFormat="1" x14ac:dyDescent="0.4"/>
    <row r="69" customFormat="1" x14ac:dyDescent="0.4"/>
    <row r="70" customFormat="1" x14ac:dyDescent="0.4"/>
    <row r="71" customFormat="1" x14ac:dyDescent="0.4"/>
    <row r="72" customFormat="1" x14ac:dyDescent="0.4"/>
    <row r="73" customFormat="1" x14ac:dyDescent="0.4"/>
    <row r="74" customFormat="1" x14ac:dyDescent="0.4"/>
    <row r="75" customFormat="1" x14ac:dyDescent="0.4"/>
    <row r="76" customFormat="1" x14ac:dyDescent="0.4"/>
    <row r="77" customFormat="1" x14ac:dyDescent="0.4"/>
    <row r="78" customFormat="1" x14ac:dyDescent="0.4"/>
    <row r="79" customFormat="1" x14ac:dyDescent="0.4"/>
    <row r="80" customFormat="1" x14ac:dyDescent="0.4"/>
    <row r="81" customFormat="1" x14ac:dyDescent="0.4"/>
    <row r="82" customFormat="1" x14ac:dyDescent="0.4"/>
    <row r="83" customFormat="1" x14ac:dyDescent="0.4"/>
    <row r="84" customFormat="1" x14ac:dyDescent="0.4"/>
    <row r="85" customFormat="1" x14ac:dyDescent="0.4"/>
    <row r="86" customFormat="1" x14ac:dyDescent="0.4"/>
    <row r="87" customFormat="1" x14ac:dyDescent="0.4"/>
    <row r="88" customFormat="1" x14ac:dyDescent="0.4"/>
    <row r="89" customFormat="1" x14ac:dyDescent="0.4"/>
    <row r="90" customFormat="1" x14ac:dyDescent="0.4"/>
    <row r="91" customFormat="1" x14ac:dyDescent="0.4"/>
    <row r="92" customFormat="1" x14ac:dyDescent="0.4"/>
    <row r="93" customFormat="1" x14ac:dyDescent="0.4"/>
    <row r="94" customFormat="1" x14ac:dyDescent="0.4"/>
    <row r="95" customFormat="1" x14ac:dyDescent="0.4"/>
    <row r="96" customFormat="1" x14ac:dyDescent="0.4"/>
    <row r="97" customFormat="1" x14ac:dyDescent="0.4"/>
    <row r="98" customFormat="1" x14ac:dyDescent="0.4"/>
    <row r="99" customFormat="1" x14ac:dyDescent="0.4"/>
    <row r="100" customFormat="1" x14ac:dyDescent="0.4"/>
    <row r="101" customFormat="1" x14ac:dyDescent="0.4"/>
    <row r="102" customFormat="1" x14ac:dyDescent="0.4"/>
    <row r="103" customFormat="1" x14ac:dyDescent="0.4"/>
    <row r="104" customFormat="1" x14ac:dyDescent="0.4"/>
    <row r="105" customFormat="1" x14ac:dyDescent="0.4"/>
    <row r="106" customFormat="1" x14ac:dyDescent="0.4"/>
    <row r="107" customFormat="1" x14ac:dyDescent="0.4"/>
    <row r="108" customFormat="1" x14ac:dyDescent="0.4"/>
    <row r="109" customFormat="1" x14ac:dyDescent="0.4"/>
    <row r="110" customFormat="1" x14ac:dyDescent="0.4"/>
    <row r="111" customFormat="1" x14ac:dyDescent="0.4"/>
    <row r="112" customFormat="1" x14ac:dyDescent="0.4"/>
    <row r="113" customFormat="1" x14ac:dyDescent="0.4"/>
    <row r="114" customFormat="1" x14ac:dyDescent="0.4"/>
    <row r="115" customFormat="1" x14ac:dyDescent="0.4"/>
    <row r="116" customFormat="1" x14ac:dyDescent="0.4"/>
    <row r="117" customFormat="1" x14ac:dyDescent="0.4"/>
    <row r="118" customFormat="1" x14ac:dyDescent="0.4"/>
    <row r="119" customFormat="1" x14ac:dyDescent="0.4"/>
    <row r="120" customFormat="1" x14ac:dyDescent="0.4"/>
    <row r="121" customFormat="1" x14ac:dyDescent="0.4"/>
    <row r="122" customFormat="1" x14ac:dyDescent="0.4"/>
    <row r="123" customFormat="1" x14ac:dyDescent="0.4"/>
    <row r="124" customFormat="1" x14ac:dyDescent="0.4"/>
    <row r="125" customFormat="1" x14ac:dyDescent="0.4"/>
    <row r="126" customFormat="1" x14ac:dyDescent="0.4"/>
    <row r="127" customFormat="1" x14ac:dyDescent="0.4"/>
    <row r="128" customFormat="1" x14ac:dyDescent="0.4"/>
    <row r="129" customFormat="1" x14ac:dyDescent="0.4"/>
    <row r="130" customFormat="1" x14ac:dyDescent="0.4"/>
    <row r="131" customFormat="1" x14ac:dyDescent="0.4"/>
    <row r="132" customFormat="1" x14ac:dyDescent="0.4"/>
    <row r="133" customFormat="1" x14ac:dyDescent="0.4"/>
    <row r="134" customFormat="1" x14ac:dyDescent="0.4"/>
    <row r="135" customFormat="1" x14ac:dyDescent="0.4"/>
    <row r="136" customFormat="1" x14ac:dyDescent="0.4"/>
    <row r="137" customFormat="1" x14ac:dyDescent="0.4"/>
    <row r="138" customFormat="1" x14ac:dyDescent="0.4"/>
    <row r="139" customFormat="1" x14ac:dyDescent="0.4"/>
    <row r="140" customFormat="1" x14ac:dyDescent="0.4"/>
    <row r="141" customFormat="1" x14ac:dyDescent="0.4"/>
    <row r="142" customFormat="1" x14ac:dyDescent="0.4"/>
    <row r="143" customFormat="1" x14ac:dyDescent="0.4"/>
    <row r="144" customFormat="1" x14ac:dyDescent="0.4"/>
    <row r="145" customFormat="1" x14ac:dyDescent="0.4"/>
    <row r="146" customFormat="1" x14ac:dyDescent="0.4"/>
    <row r="147" customFormat="1" x14ac:dyDescent="0.4"/>
    <row r="148" customFormat="1" x14ac:dyDescent="0.4"/>
    <row r="149" customFormat="1" x14ac:dyDescent="0.4"/>
    <row r="150" customFormat="1" x14ac:dyDescent="0.4"/>
    <row r="151" customFormat="1" x14ac:dyDescent="0.4"/>
    <row r="152" customFormat="1" x14ac:dyDescent="0.4"/>
    <row r="153" customFormat="1" x14ac:dyDescent="0.4"/>
    <row r="154" customFormat="1" x14ac:dyDescent="0.4"/>
    <row r="155" customFormat="1" x14ac:dyDescent="0.4"/>
    <row r="156" customFormat="1" x14ac:dyDescent="0.4"/>
    <row r="157" customFormat="1" x14ac:dyDescent="0.4"/>
    <row r="158" customFormat="1" x14ac:dyDescent="0.4"/>
    <row r="159" customFormat="1" x14ac:dyDescent="0.4"/>
    <row r="160" customFormat="1" x14ac:dyDescent="0.4"/>
    <row r="161" customFormat="1" x14ac:dyDescent="0.4"/>
    <row r="162" customFormat="1" x14ac:dyDescent="0.4"/>
    <row r="163" customFormat="1" x14ac:dyDescent="0.4"/>
    <row r="164" customFormat="1" x14ac:dyDescent="0.4"/>
    <row r="165" customFormat="1" x14ac:dyDescent="0.4"/>
    <row r="166" customFormat="1" x14ac:dyDescent="0.4"/>
    <row r="167" customFormat="1" x14ac:dyDescent="0.4"/>
    <row r="168" customFormat="1" x14ac:dyDescent="0.4"/>
    <row r="169" customFormat="1" x14ac:dyDescent="0.4"/>
    <row r="170" customFormat="1" x14ac:dyDescent="0.4"/>
    <row r="171" customFormat="1" x14ac:dyDescent="0.4"/>
    <row r="172" customFormat="1" x14ac:dyDescent="0.4"/>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showGridLines="0" zoomScale="115" zoomScaleNormal="115" workbookViewId="0">
      <pane ySplit="1" topLeftCell="A2" activePane="bottomLeft" state="frozen"/>
      <selection pane="bottomLeft" activeCell="A2" sqref="A2:D2"/>
    </sheetView>
  </sheetViews>
  <sheetFormatPr defaultRowHeight="14.6" x14ac:dyDescent="0.4"/>
  <cols>
    <col min="1" max="1" width="8.23046875" bestFit="1" customWidth="1"/>
    <col min="2" max="2" width="32" customWidth="1"/>
    <col min="3" max="3" width="24" customWidth="1"/>
    <col min="4" max="4" width="50.921875" customWidth="1"/>
  </cols>
  <sheetData>
    <row r="1" spans="1:4" x14ac:dyDescent="0.4">
      <c r="A1" s="37" t="s">
        <v>1007</v>
      </c>
      <c r="B1" s="37" t="s">
        <v>1008</v>
      </c>
      <c r="C1" s="37" t="s">
        <v>1009</v>
      </c>
      <c r="D1" s="37" t="s">
        <v>1010</v>
      </c>
    </row>
    <row r="2" spans="1:4" ht="29.15" x14ac:dyDescent="0.4">
      <c r="A2" s="36">
        <v>1</v>
      </c>
      <c r="B2" s="30" t="s">
        <v>0</v>
      </c>
      <c r="C2" s="29" t="s">
        <v>1149</v>
      </c>
      <c r="D2" s="29" t="s">
        <v>1156</v>
      </c>
    </row>
    <row r="3" spans="1:4" ht="72.900000000000006" x14ac:dyDescent="0.4">
      <c r="A3" s="36">
        <v>2</v>
      </c>
      <c r="B3" s="31" t="s">
        <v>1</v>
      </c>
      <c r="C3" s="29" t="s">
        <v>1150</v>
      </c>
      <c r="D3" s="29" t="s">
        <v>1157</v>
      </c>
    </row>
    <row r="4" spans="1:4" ht="29.15" x14ac:dyDescent="0.4">
      <c r="A4" s="36">
        <v>3</v>
      </c>
      <c r="B4" s="31" t="s">
        <v>2</v>
      </c>
      <c r="C4" s="29" t="s">
        <v>1149</v>
      </c>
      <c r="D4" s="29" t="s">
        <v>1158</v>
      </c>
    </row>
    <row r="5" spans="1:4" ht="29.15" x14ac:dyDescent="0.4">
      <c r="A5" s="36">
        <v>4</v>
      </c>
      <c r="B5" s="32" t="s">
        <v>3</v>
      </c>
      <c r="C5" s="38" t="s">
        <v>1149</v>
      </c>
      <c r="D5" s="29" t="s">
        <v>1159</v>
      </c>
    </row>
    <row r="6" spans="1:4" ht="58.3" x14ac:dyDescent="0.4">
      <c r="A6" s="36">
        <v>5</v>
      </c>
      <c r="B6" s="32" t="s">
        <v>1031</v>
      </c>
      <c r="C6" s="38" t="s">
        <v>1151</v>
      </c>
      <c r="D6" s="29" t="s">
        <v>1160</v>
      </c>
    </row>
    <row r="7" spans="1:4" ht="72.900000000000006" x14ac:dyDescent="0.4">
      <c r="A7" s="36">
        <v>6</v>
      </c>
      <c r="B7" s="30" t="s">
        <v>1032</v>
      </c>
      <c r="C7" s="38" t="s">
        <v>1151</v>
      </c>
      <c r="D7" s="29" t="s">
        <v>1161</v>
      </c>
    </row>
    <row r="8" spans="1:4" ht="43.75" x14ac:dyDescent="0.4">
      <c r="A8" s="36">
        <v>7</v>
      </c>
      <c r="B8" s="30" t="s">
        <v>4</v>
      </c>
      <c r="C8" s="38" t="s">
        <v>1011</v>
      </c>
      <c r="D8" s="29" t="s">
        <v>1162</v>
      </c>
    </row>
    <row r="9" spans="1:4" ht="43.75" x14ac:dyDescent="0.4">
      <c r="A9" s="36">
        <v>8</v>
      </c>
      <c r="B9" s="30" t="s">
        <v>5</v>
      </c>
      <c r="C9" s="38" t="s">
        <v>1011</v>
      </c>
      <c r="D9" s="29" t="s">
        <v>1163</v>
      </c>
    </row>
    <row r="10" spans="1:4" ht="72.900000000000006" x14ac:dyDescent="0.4">
      <c r="A10" s="36">
        <v>9</v>
      </c>
      <c r="B10" s="30" t="s">
        <v>6</v>
      </c>
      <c r="C10" s="38" t="s">
        <v>1152</v>
      </c>
      <c r="D10" s="29" t="s">
        <v>1164</v>
      </c>
    </row>
    <row r="11" spans="1:4" ht="58.3" x14ac:dyDescent="0.4">
      <c r="A11" s="36">
        <v>10</v>
      </c>
      <c r="B11" s="30" t="s">
        <v>7</v>
      </c>
      <c r="C11" s="38" t="s">
        <v>1153</v>
      </c>
      <c r="D11" s="29" t="s">
        <v>1165</v>
      </c>
    </row>
    <row r="12" spans="1:4" ht="29.15" x14ac:dyDescent="0.4">
      <c r="A12" s="36">
        <v>11</v>
      </c>
      <c r="B12" s="30" t="s">
        <v>8</v>
      </c>
      <c r="C12" s="38" t="s">
        <v>1011</v>
      </c>
      <c r="D12" s="29" t="s">
        <v>1166</v>
      </c>
    </row>
    <row r="13" spans="1:4" ht="29.15" x14ac:dyDescent="0.4">
      <c r="A13" s="36">
        <v>12</v>
      </c>
      <c r="B13" s="33" t="s">
        <v>9</v>
      </c>
      <c r="C13" s="38" t="s">
        <v>1011</v>
      </c>
      <c r="D13" s="29" t="s">
        <v>1167</v>
      </c>
    </row>
    <row r="14" spans="1:4" ht="29.15" x14ac:dyDescent="0.4">
      <c r="A14" s="36">
        <v>13</v>
      </c>
      <c r="B14" s="33" t="s">
        <v>10</v>
      </c>
      <c r="C14" s="38" t="s">
        <v>1151</v>
      </c>
      <c r="D14" s="29" t="s">
        <v>1168</v>
      </c>
    </row>
    <row r="15" spans="1:4" ht="29.15" x14ac:dyDescent="0.4">
      <c r="A15" s="36">
        <v>14</v>
      </c>
      <c r="B15" s="33" t="s">
        <v>11</v>
      </c>
      <c r="C15" s="38" t="s">
        <v>1151</v>
      </c>
      <c r="D15" s="29" t="s">
        <v>1169</v>
      </c>
    </row>
    <row r="16" spans="1:4" ht="29.15" x14ac:dyDescent="0.4">
      <c r="A16" s="36">
        <v>15</v>
      </c>
      <c r="B16" s="34" t="s">
        <v>12</v>
      </c>
      <c r="C16" s="38" t="s">
        <v>1154</v>
      </c>
      <c r="D16" s="29" t="s">
        <v>1170</v>
      </c>
    </row>
    <row r="17" spans="1:4" ht="29.15" x14ac:dyDescent="0.4">
      <c r="A17" s="36">
        <v>16</v>
      </c>
      <c r="B17" s="34" t="s">
        <v>13</v>
      </c>
      <c r="C17" s="38" t="s">
        <v>1011</v>
      </c>
      <c r="D17" s="29" t="s">
        <v>1171</v>
      </c>
    </row>
    <row r="18" spans="1:4" ht="43.75" x14ac:dyDescent="0.4">
      <c r="A18" s="36">
        <v>17</v>
      </c>
      <c r="B18" s="34" t="s">
        <v>14</v>
      </c>
      <c r="C18" s="38" t="s">
        <v>1151</v>
      </c>
      <c r="D18" s="29" t="s">
        <v>1172</v>
      </c>
    </row>
    <row r="19" spans="1:4" ht="58.3" x14ac:dyDescent="0.4">
      <c r="A19" s="36">
        <v>18</v>
      </c>
      <c r="B19" s="34" t="s">
        <v>15</v>
      </c>
      <c r="C19" s="38" t="s">
        <v>1151</v>
      </c>
      <c r="D19" s="29" t="s">
        <v>1173</v>
      </c>
    </row>
    <row r="20" spans="1:4" ht="43.75" x14ac:dyDescent="0.4">
      <c r="A20" s="36">
        <v>19</v>
      </c>
      <c r="B20" s="34" t="s">
        <v>16</v>
      </c>
      <c r="C20" s="38" t="s">
        <v>1154</v>
      </c>
      <c r="D20" s="29" t="s">
        <v>1174</v>
      </c>
    </row>
    <row r="21" spans="1:4" ht="43.75" x14ac:dyDescent="0.4">
      <c r="A21" s="36">
        <v>20</v>
      </c>
      <c r="B21" s="30" t="s">
        <v>17</v>
      </c>
      <c r="C21" s="38" t="s">
        <v>1154</v>
      </c>
      <c r="D21" s="29" t="s">
        <v>1175</v>
      </c>
    </row>
    <row r="22" spans="1:4" ht="43.75" x14ac:dyDescent="0.4">
      <c r="A22" s="36">
        <v>21</v>
      </c>
      <c r="B22" s="30" t="s">
        <v>18</v>
      </c>
      <c r="C22" s="38" t="s">
        <v>1011</v>
      </c>
      <c r="D22" s="29" t="s">
        <v>1176</v>
      </c>
    </row>
    <row r="23" spans="1:4" ht="87.45" x14ac:dyDescent="0.4">
      <c r="A23" s="36">
        <v>22</v>
      </c>
      <c r="B23" s="35" t="s">
        <v>1065</v>
      </c>
      <c r="C23" s="38" t="s">
        <v>1155</v>
      </c>
      <c r="D23" s="29" t="s">
        <v>1177</v>
      </c>
    </row>
    <row r="24" spans="1:4" ht="43.75" x14ac:dyDescent="0.4">
      <c r="A24" s="36">
        <v>23</v>
      </c>
      <c r="B24" s="35" t="s">
        <v>19</v>
      </c>
      <c r="C24" s="38" t="s">
        <v>1011</v>
      </c>
      <c r="D24" s="29" t="s">
        <v>1178</v>
      </c>
    </row>
    <row r="25" spans="1:4" ht="29.15" x14ac:dyDescent="0.4">
      <c r="A25" s="36">
        <v>24</v>
      </c>
      <c r="B25" s="35" t="s">
        <v>20</v>
      </c>
      <c r="C25" s="38" t="s">
        <v>1011</v>
      </c>
      <c r="D25" s="29" t="s">
        <v>1179</v>
      </c>
    </row>
    <row r="26" spans="1:4" ht="43.75" x14ac:dyDescent="0.4">
      <c r="A26" s="36">
        <v>25</v>
      </c>
      <c r="B26" s="30" t="s">
        <v>21</v>
      </c>
      <c r="C26" s="38" t="s">
        <v>1011</v>
      </c>
      <c r="D26" s="29" t="s">
        <v>1180</v>
      </c>
    </row>
    <row r="27" spans="1:4" ht="58.3" x14ac:dyDescent="0.4">
      <c r="A27" s="36">
        <v>26</v>
      </c>
      <c r="B27" s="30" t="s">
        <v>22</v>
      </c>
      <c r="C27" s="38" t="s">
        <v>1011</v>
      </c>
      <c r="D27" s="29" t="s">
        <v>1181</v>
      </c>
    </row>
    <row r="28" spans="1:4" ht="43.75" x14ac:dyDescent="0.4">
      <c r="A28" s="36">
        <v>27</v>
      </c>
      <c r="B28" s="30" t="s">
        <v>23</v>
      </c>
      <c r="C28" s="29" t="s">
        <v>1151</v>
      </c>
      <c r="D28" s="29" t="s">
        <v>1182</v>
      </c>
    </row>
    <row r="29" spans="1:4" ht="58.3" x14ac:dyDescent="0.4">
      <c r="A29" s="36">
        <v>28</v>
      </c>
      <c r="B29" s="30" t="s">
        <v>24</v>
      </c>
      <c r="C29" s="29" t="s">
        <v>1151</v>
      </c>
      <c r="D29" s="29" t="s">
        <v>1183</v>
      </c>
    </row>
    <row r="30" spans="1:4" ht="43.75" x14ac:dyDescent="0.4">
      <c r="A30" s="36">
        <v>29</v>
      </c>
      <c r="B30" s="33" t="s">
        <v>25</v>
      </c>
      <c r="C30" s="29" t="s">
        <v>1154</v>
      </c>
      <c r="D30" s="29" t="s">
        <v>1184</v>
      </c>
    </row>
    <row r="31" spans="1:4" ht="72.900000000000006" x14ac:dyDescent="0.4">
      <c r="A31" s="36">
        <v>30</v>
      </c>
      <c r="B31" s="39" t="s">
        <v>26</v>
      </c>
      <c r="C31" s="38" t="s">
        <v>1154</v>
      </c>
      <c r="D31" s="29" t="s">
        <v>1185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showGridLines="0" workbookViewId="0"/>
  </sheetViews>
  <sheetFormatPr defaultRowHeight="14.6" x14ac:dyDescent="0.4"/>
  <cols>
    <col min="1" max="1" width="35" customWidth="1"/>
    <col min="2" max="2" width="80" customWidth="1"/>
  </cols>
  <sheetData>
    <row r="1" spans="1:2" x14ac:dyDescent="0.4">
      <c r="A1" s="2" t="s">
        <v>1012</v>
      </c>
      <c r="B1" s="2" t="s">
        <v>1013</v>
      </c>
    </row>
    <row r="2" spans="1:2" x14ac:dyDescent="0.4">
      <c r="A2" s="1" t="s">
        <v>1014</v>
      </c>
      <c r="B2" s="1">
        <v>2</v>
      </c>
    </row>
    <row r="3" spans="1:2" x14ac:dyDescent="0.4">
      <c r="A3" s="1" t="s">
        <v>1015</v>
      </c>
      <c r="B3" s="1">
        <v>2</v>
      </c>
    </row>
    <row r="4" spans="1:2" x14ac:dyDescent="0.4">
      <c r="A4" s="1" t="s">
        <v>1016</v>
      </c>
      <c r="B4" s="1">
        <v>445</v>
      </c>
    </row>
    <row r="5" spans="1:2" x14ac:dyDescent="0.4">
      <c r="A5" s="1" t="s">
        <v>1017</v>
      </c>
      <c r="B5" s="1">
        <v>241</v>
      </c>
    </row>
    <row r="6" spans="1:2" x14ac:dyDescent="0.4">
      <c r="A6" s="1" t="s">
        <v>1018</v>
      </c>
      <c r="B6" s="1">
        <v>339</v>
      </c>
    </row>
    <row r="7" spans="1:2" x14ac:dyDescent="0.4">
      <c r="A7" s="1" t="s">
        <v>1019</v>
      </c>
      <c r="B7" s="1">
        <v>0</v>
      </c>
    </row>
    <row r="8" spans="1:2" x14ac:dyDescent="0.4">
      <c r="A8" s="1"/>
      <c r="B8" s="1"/>
    </row>
    <row r="9" spans="1:2" x14ac:dyDescent="0.4">
      <c r="A9" s="1" t="s">
        <v>1020</v>
      </c>
      <c r="B9" s="1" t="s">
        <v>1021</v>
      </c>
    </row>
    <row r="10" spans="1:2" x14ac:dyDescent="0.4">
      <c r="A10" s="1" t="s">
        <v>37</v>
      </c>
      <c r="B10" s="1">
        <v>337</v>
      </c>
    </row>
    <row r="11" spans="1:2" x14ac:dyDescent="0.4">
      <c r="A11" s="1" t="s">
        <v>520</v>
      </c>
      <c r="B11" s="1">
        <v>6</v>
      </c>
    </row>
    <row r="12" spans="1:2" x14ac:dyDescent="0.4">
      <c r="A12" s="1"/>
      <c r="B12" s="1"/>
    </row>
    <row r="13" spans="1:2" x14ac:dyDescent="0.4">
      <c r="A13" s="1" t="s">
        <v>1020</v>
      </c>
      <c r="B13" s="1" t="s">
        <v>1022</v>
      </c>
    </row>
    <row r="14" spans="1:2" ht="29.15" x14ac:dyDescent="0.4">
      <c r="A14" s="1" t="s">
        <v>37</v>
      </c>
      <c r="B14" s="1" t="s">
        <v>1023</v>
      </c>
    </row>
    <row r="15" spans="1:2" x14ac:dyDescent="0.4">
      <c r="A15" s="1" t="s">
        <v>1024</v>
      </c>
      <c r="B15" s="1" t="s">
        <v>1025</v>
      </c>
    </row>
    <row r="16" spans="1:2" ht="29.15" x14ac:dyDescent="0.4">
      <c r="A16" s="1" t="s">
        <v>1026</v>
      </c>
      <c r="B16" s="1" t="s">
        <v>1027</v>
      </c>
    </row>
    <row r="17" spans="1:2" ht="29.15" x14ac:dyDescent="0.4">
      <c r="A17" s="1" t="s">
        <v>520</v>
      </c>
      <c r="B17" s="1" t="s">
        <v>1028</v>
      </c>
    </row>
    <row r="18" spans="1:2" x14ac:dyDescent="0.4">
      <c r="A18" s="1" t="s">
        <v>1029</v>
      </c>
      <c r="B18" s="1" t="s">
        <v>1030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MASTER_TRACKING</vt:lpstr>
      <vt:lpstr>Alert_levels</vt:lpstr>
      <vt:lpstr>Results</vt:lpstr>
      <vt:lpstr>Ly_do</vt:lpstr>
      <vt:lpstr>Topics</vt:lpstr>
      <vt:lpstr>Schema</vt:lpstr>
      <vt:lpstr>QC_Notes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Minh Hồng Đức</cp:lastModifiedBy>
  <dcterms:created xsi:type="dcterms:W3CDTF">2026-09-17T00:00:00Z</dcterms:created>
  <dcterms:modified xsi:type="dcterms:W3CDTF">2026-09-24T03:49:21Z</dcterms:modified>
</cp:coreProperties>
</file>